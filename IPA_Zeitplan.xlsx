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ALIIS4\PROJECTS\individuelle-praktische-arbeit\"/>
    </mc:Choice>
  </mc:AlternateContent>
  <xr:revisionPtr revIDLastSave="0" documentId="13_ncr:1_{ED0ABA6F-0413-42D1-A997-2984C35DED1D}" xr6:coauthVersionLast="47" xr6:coauthVersionMax="47" xr10:uidLastSave="{00000000-0000-0000-0000-000000000000}"/>
  <bookViews>
    <workbookView xWindow="-120" yWindow="-120" windowWidth="29040" windowHeight="15720" xr2:uid="{09F15F46-AED7-3C4E-9C62-04C59C5DDA6F}"/>
  </bookViews>
  <sheets>
    <sheet name="IPA_ISAAC_LINS" sheetId="2" r:id="rId1"/>
  </sheets>
  <definedNames>
    <definedName name="_xlnm.Print_Area" localSheetId="0">IPA_ISAAC_LINS!$A$1:$BC$107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00" i="2" l="1" a="1"/>
  <c r="AL100" i="2" s="1"/>
  <c r="P100" i="2" a="1"/>
  <c r="P100" i="2" s="1"/>
  <c r="AX100" i="2" a="1"/>
  <c r="AX100" i="2" s="1"/>
  <c r="AS100" i="2" a="1"/>
  <c r="AS100" i="2" s="1"/>
  <c r="AN100" i="2" a="1"/>
  <c r="AN100" i="2" s="1"/>
  <c r="AG100" i="2" a="1"/>
  <c r="AG100" i="2" s="1"/>
  <c r="AB100" i="2" a="1"/>
  <c r="AB100" i="2" s="1"/>
  <c r="W100" i="2" a="1"/>
  <c r="W100" i="2" s="1"/>
  <c r="R100" i="2" a="1"/>
  <c r="R100" i="2" s="1"/>
  <c r="K100" i="2" a="1"/>
  <c r="K100" i="2" s="1"/>
  <c r="F100" i="2" a="1"/>
  <c r="F100" i="2" s="1"/>
  <c r="AX99" i="2" a="1"/>
  <c r="AX99" i="2" s="1"/>
  <c r="AS99" i="2" a="1"/>
  <c r="AS99" i="2" s="1"/>
  <c r="AN99" i="2" a="1"/>
  <c r="AN99" i="2" s="1"/>
  <c r="AL99" i="2" a="1"/>
  <c r="AL99" i="2" s="1"/>
  <c r="AG99" i="2" a="1"/>
  <c r="AG99" i="2" s="1"/>
  <c r="AB99" i="2" a="1"/>
  <c r="AB99" i="2" s="1"/>
  <c r="W99" i="2" a="1"/>
  <c r="W99" i="2" s="1"/>
  <c r="R99" i="2" a="1"/>
  <c r="R99" i="2" s="1"/>
  <c r="P99" i="2" a="1"/>
  <c r="P99" i="2" s="1"/>
  <c r="K99" i="2" a="1"/>
  <c r="K99" i="2" s="1"/>
  <c r="F99" i="2" a="1"/>
  <c r="F99" i="2" s="1"/>
  <c r="D94" i="2"/>
  <c r="C96" i="2"/>
  <c r="D96" i="2"/>
  <c r="C94" i="2"/>
  <c r="D90" i="2"/>
  <c r="C90" i="2"/>
  <c r="E90" i="2" s="1"/>
  <c r="D88" i="2"/>
  <c r="C88" i="2"/>
  <c r="E88" i="2" s="1"/>
  <c r="D86" i="2"/>
  <c r="C86" i="2"/>
  <c r="D84" i="2"/>
  <c r="C84" i="2"/>
  <c r="D82" i="2"/>
  <c r="C82" i="2"/>
  <c r="D78" i="2"/>
  <c r="C78" i="2"/>
  <c r="E78" i="2" s="1"/>
  <c r="D76" i="2"/>
  <c r="C76" i="2"/>
  <c r="D74" i="2"/>
  <c r="C74" i="2"/>
  <c r="D70" i="2"/>
  <c r="C70" i="2"/>
  <c r="E70" i="2" s="1"/>
  <c r="D68" i="2"/>
  <c r="C68" i="2"/>
  <c r="D66" i="2"/>
  <c r="C66" i="2"/>
  <c r="D64" i="2"/>
  <c r="C64" i="2"/>
  <c r="D62" i="2"/>
  <c r="C62" i="2"/>
  <c r="D60" i="2"/>
  <c r="C60" i="2"/>
  <c r="D58" i="2"/>
  <c r="C58" i="2"/>
  <c r="D56" i="2"/>
  <c r="C56" i="2"/>
  <c r="D54" i="2"/>
  <c r="C54" i="2"/>
  <c r="D50" i="2"/>
  <c r="C50" i="2"/>
  <c r="D48" i="2"/>
  <c r="C48" i="2"/>
  <c r="D44" i="2"/>
  <c r="C44" i="2"/>
  <c r="E44" i="2" s="1"/>
  <c r="D42" i="2"/>
  <c r="C42" i="2"/>
  <c r="D40" i="2"/>
  <c r="C40" i="2"/>
  <c r="D38" i="2"/>
  <c r="C38" i="2"/>
  <c r="E38" i="2" s="1"/>
  <c r="D36" i="2"/>
  <c r="C36" i="2"/>
  <c r="D34" i="2"/>
  <c r="C34" i="2"/>
  <c r="D30" i="2"/>
  <c r="C30" i="2"/>
  <c r="D28" i="2"/>
  <c r="C28" i="2"/>
  <c r="D26" i="2"/>
  <c r="C26" i="2"/>
  <c r="D22" i="2"/>
  <c r="C22" i="2"/>
  <c r="D20" i="2"/>
  <c r="C20" i="2"/>
  <c r="D16" i="2"/>
  <c r="C16" i="2"/>
  <c r="E16" i="2" s="1"/>
  <c r="D14" i="2"/>
  <c r="C14" i="2"/>
  <c r="D12" i="2"/>
  <c r="C12" i="2"/>
  <c r="D10" i="2"/>
  <c r="C10" i="2"/>
  <c r="E10" i="2" s="1"/>
  <c r="D8" i="2"/>
  <c r="C8" i="2"/>
  <c r="D6" i="2"/>
  <c r="C6" i="2"/>
  <c r="E84" i="2" l="1"/>
  <c r="E12" i="2"/>
  <c r="E8" i="2"/>
  <c r="E64" i="2"/>
  <c r="E74" i="2"/>
  <c r="E82" i="2"/>
  <c r="E26" i="2"/>
  <c r="E22" i="2"/>
  <c r="D18" i="2"/>
  <c r="D92" i="2"/>
  <c r="E96" i="2"/>
  <c r="E68" i="2"/>
  <c r="C92" i="2"/>
  <c r="E56" i="2"/>
  <c r="E28" i="2"/>
  <c r="D80" i="2"/>
  <c r="E66" i="2"/>
  <c r="E62" i="2"/>
  <c r="E14" i="2"/>
  <c r="E50" i="2"/>
  <c r="D46" i="2"/>
  <c r="E42" i="2"/>
  <c r="E94" i="2"/>
  <c r="E40" i="2"/>
  <c r="C32" i="2"/>
  <c r="D32" i="2"/>
  <c r="E36" i="2"/>
  <c r="E54" i="2"/>
  <c r="E20" i="2"/>
  <c r="C18" i="2"/>
  <c r="E34" i="2"/>
  <c r="E76" i="2"/>
  <c r="C72" i="2"/>
  <c r="D5" i="2"/>
  <c r="D72" i="2"/>
  <c r="D52" i="2"/>
  <c r="E48" i="2"/>
  <c r="C46" i="2"/>
  <c r="E6" i="2"/>
  <c r="C5" i="2"/>
  <c r="E58" i="2"/>
  <c r="D24" i="2"/>
  <c r="E86" i="2"/>
  <c r="C80" i="2"/>
  <c r="E60" i="2"/>
  <c r="C52" i="2"/>
  <c r="E30" i="2"/>
  <c r="C24" i="2"/>
  <c r="E92" i="2" l="1"/>
  <c r="E18" i="2"/>
  <c r="E32" i="2"/>
  <c r="AS101" i="2"/>
  <c r="P101" i="2"/>
  <c r="W101" i="2"/>
  <c r="AL101" i="2"/>
  <c r="AG101" i="2"/>
  <c r="AB101" i="2"/>
  <c r="AN101" i="2"/>
  <c r="AX101" i="2"/>
  <c r="R101" i="2"/>
  <c r="K101" i="2"/>
  <c r="F101" i="2"/>
  <c r="E80" i="2"/>
  <c r="E46" i="2"/>
  <c r="E72" i="2"/>
  <c r="E52" i="2"/>
  <c r="D98" i="2"/>
  <c r="E5" i="2"/>
  <c r="E24" i="2"/>
  <c r="C98" i="2"/>
  <c r="E98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<sst xmlns="http://schemas.openxmlformats.org/spreadsheetml/2006/main" count="123" uniqueCount="68">
  <si>
    <t>Tag</t>
  </si>
  <si>
    <t>Aufwand in Std</t>
  </si>
  <si>
    <t>Datum</t>
  </si>
  <si>
    <t>Differenz</t>
  </si>
  <si>
    <t>09:00 - 11:00</t>
  </si>
  <si>
    <t>11:00 - 13:00</t>
  </si>
  <si>
    <t>14:00 - 16:00</t>
  </si>
  <si>
    <t>16:00 - 18:00</t>
  </si>
  <si>
    <t>Reserve</t>
  </si>
  <si>
    <t>Teil 1: Umfeld und Ablauf</t>
  </si>
  <si>
    <t>Teil 2: Projektdokumentation</t>
  </si>
  <si>
    <t>Informieren</t>
  </si>
  <si>
    <t>Planen</t>
  </si>
  <si>
    <t>Entscheiden</t>
  </si>
  <si>
    <t>Realisierung</t>
  </si>
  <si>
    <t>Kontrollieren</t>
  </si>
  <si>
    <t>Auswerten</t>
  </si>
  <si>
    <t>Arbeitsjournal Weiterführen</t>
  </si>
  <si>
    <t>Expertenbesuch</t>
  </si>
  <si>
    <t>Total</t>
  </si>
  <si>
    <t>Detaillierte Aufgabenstellung dokumentieren</t>
  </si>
  <si>
    <t>Projektorganisation beschreiben</t>
  </si>
  <si>
    <t xml:space="preserve">Firmenstandards deklarieren </t>
  </si>
  <si>
    <t xml:space="preserve">Arbeitsorganisation aufzeigen </t>
  </si>
  <si>
    <t>Projektmanagementmethode erläutern</t>
  </si>
  <si>
    <t>Code Conventions erläutern</t>
  </si>
  <si>
    <t>Ist-Analyse</t>
  </si>
  <si>
    <t>Pain Points auflisten</t>
  </si>
  <si>
    <t>Soll-Analyse</t>
  </si>
  <si>
    <t>Project Scope definieren</t>
  </si>
  <si>
    <t>Anforderungskatalog aufsetzen</t>
  </si>
  <si>
    <t>Aktivitätsdiagramme erstellen</t>
  </si>
  <si>
    <t xml:space="preserve"> Teststrategie definieren</t>
  </si>
  <si>
    <t xml:space="preserve"> Testing Varianten beschreiben</t>
  </si>
  <si>
    <t>Entscheidungskriterien definieren</t>
  </si>
  <si>
    <t>Excel-Import erstellen</t>
  </si>
  <si>
    <t>Spezielle schichtzuweisungsregeln implementieren</t>
  </si>
  <si>
    <t>Schichtgenerierung umsetzen</t>
  </si>
  <si>
    <t>Validierung von Eingaben implementieren</t>
  </si>
  <si>
    <t>Excel-Export erstellen</t>
  </si>
  <si>
    <t>ReadMe Dokument erstellen</t>
  </si>
  <si>
    <t>Reserve für Bugfixes</t>
  </si>
  <si>
    <t>Persönliches Fazit &amp; Schlusswort schreiben</t>
  </si>
  <si>
    <t>Kurzfasung schreiben</t>
  </si>
  <si>
    <t>Dokumentation überarbeiten</t>
  </si>
  <si>
    <t>Management Summary erstellen</t>
  </si>
  <si>
    <t>Abgabe der Arbeit</t>
  </si>
  <si>
    <t xml:space="preserve">  </t>
  </si>
  <si>
    <t>Vorwort schreiben &amp; Template umschreiben</t>
  </si>
  <si>
    <t>Entscheidungsmatrix ausfüllen &amp; auswerten</t>
  </si>
  <si>
    <t>Fehlerbehandlung &amp; Logging einbauen</t>
  </si>
  <si>
    <t xml:space="preserve"> </t>
  </si>
  <si>
    <t>Zeitplan erstellen / anpassen</t>
  </si>
  <si>
    <t>Tagestotal in Stunden</t>
  </si>
  <si>
    <t>SOLL</t>
  </si>
  <si>
    <t>IST</t>
  </si>
  <si>
    <t>Meilensteine</t>
  </si>
  <si>
    <t>Legende:</t>
  </si>
  <si>
    <t>Soll Zeit</t>
  </si>
  <si>
    <t>Ist Zeit</t>
  </si>
  <si>
    <t>Tägliche Aufgaben</t>
  </si>
  <si>
    <t>Tätigkeit/ von-bis</t>
  </si>
  <si>
    <t>Varianten der Struktur der Daten festlegen</t>
  </si>
  <si>
    <t>Datenschema implementieren</t>
  </si>
  <si>
    <t>Testfälle dokumentieren</t>
  </si>
  <si>
    <t>Tests durchführen</t>
  </si>
  <si>
    <t>Keine Reserve</t>
  </si>
  <si>
    <t>System Tests im CI Integrieren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</si>
</sst>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F400]h:mm:ss\ AM/PM"/>
    <numFmt numFmtId="165" formatCode="0.0"/>
    <numFmt numFmtId="166" formatCode="0&quot;h&quot;"/>
    <numFmt numFmtId="167" formatCode="0.00&quot;h&quot;"/>
  </numFmts>
  <fonts count="8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9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8"/>
      <color rgb="FF000000"/>
      <name val="Aptos Narrow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5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/>
      <right/>
      <top style="medium">
        <color theme="1"/>
      </top>
      <bottom/>
      <diagonal/>
    </border>
    <border>
      <left/>
      <right/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indexed="64"/>
      </bottom>
      <diagonal/>
    </border>
    <border>
      <left/>
      <right/>
      <top style="medium">
        <color theme="1"/>
      </top>
      <bottom style="medium">
        <color indexed="64"/>
      </bottom>
      <diagonal/>
    </border>
    <border>
      <left/>
      <right style="medium">
        <color theme="1"/>
      </right>
      <top style="medium">
        <color theme="1"/>
      </top>
      <bottom style="medium">
        <color indexed="64"/>
      </bottom>
      <diagonal/>
    </border>
    <border>
      <left style="medium">
        <color theme="1"/>
      </left>
      <right/>
      <top style="medium">
        <color indexed="64"/>
      </top>
      <bottom style="medium">
        <color theme="1"/>
      </bottom>
      <diagonal/>
    </border>
    <border>
      <left/>
      <right/>
      <top style="medium">
        <color indexed="64"/>
      </top>
      <bottom style="medium">
        <color theme="1"/>
      </bottom>
      <diagonal/>
    </border>
    <border>
      <left/>
      <right style="medium">
        <color theme="1"/>
      </right>
      <top style="medium">
        <color indexed="64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/>
      <bottom style="medium">
        <color theme="1"/>
      </bottom>
      <diagonal/>
    </border>
    <border>
      <left style="medium">
        <color theme="1"/>
      </left>
      <right style="medium">
        <color indexed="64"/>
      </right>
      <top style="thin">
        <color indexed="64"/>
      </top>
      <bottom/>
      <diagonal/>
    </border>
    <border>
      <left style="medium">
        <color theme="1"/>
      </left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 style="medium">
        <color theme="1"/>
      </right>
      <top/>
      <bottom style="thin">
        <color indexed="64"/>
      </bottom>
      <diagonal/>
    </border>
    <border>
      <left style="medium">
        <color indexed="64"/>
      </left>
      <right style="medium">
        <color theme="1"/>
      </right>
      <top style="thin">
        <color indexed="64"/>
      </top>
      <bottom/>
      <diagonal/>
    </border>
    <border>
      <left style="medium">
        <color indexed="64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 style="medium">
        <color theme="1"/>
      </right>
      <top/>
      <bottom/>
      <diagonal/>
    </border>
  </borders>
  <cellStyleXfs count="2">
    <xf numFmtId="0" fontId="0" fillId="0" borderId="0"/>
    <xf numFmtId="0" fontId="1" fillId="0" borderId="0"/>
  </cellStyleXfs>
  <cellXfs count="274">
    <xf numFmtId="0" fontId="0" fillId="0" borderId="0" xfId="0"/>
    <xf numFmtId="0" fontId="1" fillId="0" borderId="0" xfId="1"/>
    <xf numFmtId="0" fontId="1" fillId="0" borderId="0" xfId="1" applyAlignment="1">
      <alignment horizontal="center" vertical="center"/>
    </xf>
    <xf numFmtId="0" fontId="1" fillId="0" borderId="0" xfId="1" applyAlignment="1">
      <alignment vertical="center"/>
    </xf>
    <xf numFmtId="0" fontId="1" fillId="0" borderId="0" xfId="1" applyAlignment="1">
      <alignment horizontal="right" vertical="center"/>
    </xf>
    <xf numFmtId="2" fontId="3" fillId="0" borderId="0" xfId="0" applyNumberFormat="1" applyFont="1" applyAlignment="1">
      <alignment shrinkToFit="1"/>
    </xf>
    <xf numFmtId="0" fontId="1" fillId="0" borderId="0" xfId="1" applyAlignment="1">
      <alignment vertical="center" textRotation="90"/>
    </xf>
    <xf numFmtId="0" fontId="2" fillId="3" borderId="47" xfId="1" applyFont="1" applyFill="1" applyBorder="1" applyAlignment="1">
      <alignment horizontal="center" vertical="center" shrinkToFit="1"/>
    </xf>
    <xf numFmtId="0" fontId="1" fillId="0" borderId="2" xfId="1" applyBorder="1" applyAlignment="1">
      <alignment horizontal="center" vertical="center"/>
    </xf>
    <xf numFmtId="0" fontId="1" fillId="0" borderId="7" xfId="1" applyBorder="1" applyAlignment="1">
      <alignment horizontal="center" vertical="center"/>
    </xf>
    <xf numFmtId="164" fontId="5" fillId="0" borderId="3" xfId="1" applyNumberFormat="1" applyFont="1" applyBorder="1" applyAlignment="1">
      <alignment horizontal="center" vertical="center" textRotation="90"/>
    </xf>
    <xf numFmtId="0" fontId="5" fillId="0" borderId="3" xfId="1" applyFont="1" applyBorder="1" applyAlignment="1">
      <alignment horizontal="center" vertical="center" textRotation="90"/>
    </xf>
    <xf numFmtId="20" fontId="5" fillId="0" borderId="3" xfId="1" applyNumberFormat="1" applyFont="1" applyBorder="1" applyAlignment="1">
      <alignment horizontal="center" vertical="center" textRotation="90"/>
    </xf>
    <xf numFmtId="0" fontId="5" fillId="0" borderId="4" xfId="1" applyFont="1" applyBorder="1" applyAlignment="1">
      <alignment horizontal="center" vertical="center" textRotation="90"/>
    </xf>
    <xf numFmtId="164" fontId="5" fillId="0" borderId="5" xfId="1" applyNumberFormat="1" applyFont="1" applyBorder="1" applyAlignment="1">
      <alignment horizontal="center" vertical="center" textRotation="90"/>
    </xf>
    <xf numFmtId="167" fontId="1" fillId="3" borderId="11" xfId="1" applyNumberFormat="1" applyFill="1" applyBorder="1" applyAlignment="1">
      <alignment horizontal="center" vertical="center"/>
    </xf>
    <xf numFmtId="167" fontId="1" fillId="3" borderId="6" xfId="1" applyNumberFormat="1" applyFill="1" applyBorder="1" applyAlignment="1">
      <alignment horizontal="center" vertical="center"/>
    </xf>
    <xf numFmtId="167" fontId="1" fillId="3" borderId="8" xfId="1" applyNumberFormat="1" applyFill="1" applyBorder="1" applyAlignment="1">
      <alignment horizontal="right" vertical="center"/>
    </xf>
    <xf numFmtId="0" fontId="1" fillId="23" borderId="30" xfId="1" applyFill="1" applyBorder="1" applyAlignment="1">
      <alignment horizontal="center" vertical="center" textRotation="90" shrinkToFit="1"/>
    </xf>
    <xf numFmtId="0" fontId="1" fillId="23" borderId="31" xfId="1" applyFill="1" applyBorder="1" applyAlignment="1">
      <alignment horizontal="center" vertical="center" textRotation="90" shrinkToFit="1"/>
    </xf>
    <xf numFmtId="0" fontId="1" fillId="23" borderId="28" xfId="1" applyFill="1" applyBorder="1" applyAlignment="1">
      <alignment horizontal="center" vertical="center" textRotation="90" shrinkToFit="1"/>
    </xf>
    <xf numFmtId="165" fontId="3" fillId="21" borderId="38" xfId="1" applyNumberFormat="1" applyFont="1" applyFill="1" applyBorder="1" applyAlignment="1">
      <alignment horizontal="center" vertical="center" shrinkToFit="1"/>
    </xf>
    <xf numFmtId="165" fontId="3" fillId="21" borderId="39" xfId="1" applyNumberFormat="1" applyFont="1" applyFill="1" applyBorder="1" applyAlignment="1">
      <alignment horizontal="center" vertical="center" shrinkToFit="1"/>
    </xf>
    <xf numFmtId="165" fontId="3" fillId="21" borderId="40" xfId="1" applyNumberFormat="1" applyFont="1" applyFill="1" applyBorder="1" applyAlignment="1">
      <alignment horizontal="center" vertical="center" shrinkToFit="1"/>
    </xf>
    <xf numFmtId="166" fontId="1" fillId="2" borderId="23" xfId="1" applyNumberFormat="1" applyFill="1" applyBorder="1" applyAlignment="1">
      <alignment horizontal="center" shrinkToFit="1"/>
    </xf>
    <xf numFmtId="166" fontId="1" fillId="2" borderId="24" xfId="1" applyNumberFormat="1" applyFill="1" applyBorder="1" applyAlignment="1">
      <alignment horizontal="center" shrinkToFit="1"/>
    </xf>
    <xf numFmtId="166" fontId="1" fillId="2" borderId="25" xfId="1" applyNumberFormat="1" applyFill="1" applyBorder="1" applyAlignment="1">
      <alignment horizontal="center" shrinkToFit="1"/>
    </xf>
    <xf numFmtId="166" fontId="1" fillId="20" borderId="36" xfId="1" applyNumberFormat="1" applyFill="1" applyBorder="1" applyAlignment="1">
      <alignment horizontal="center" shrinkToFit="1"/>
    </xf>
    <xf numFmtId="166" fontId="1" fillId="20" borderId="37" xfId="1" applyNumberFormat="1" applyFill="1" applyBorder="1" applyAlignment="1">
      <alignment horizontal="center" shrinkToFit="1"/>
    </xf>
    <xf numFmtId="0" fontId="2" fillId="21" borderId="30" xfId="1" applyFont="1" applyFill="1" applyBorder="1" applyAlignment="1">
      <alignment horizontal="center" vertical="center" shrinkToFit="1"/>
    </xf>
    <xf numFmtId="0" fontId="2" fillId="21" borderId="32" xfId="1" applyFont="1" applyFill="1" applyBorder="1" applyAlignment="1">
      <alignment horizontal="center" vertical="center" shrinkToFit="1"/>
    </xf>
    <xf numFmtId="165" fontId="3" fillId="21" borderId="38" xfId="1" applyNumberFormat="1" applyFont="1" applyFill="1" applyBorder="1" applyAlignment="1">
      <alignment horizontal="center" shrinkToFit="1"/>
    </xf>
    <xf numFmtId="165" fontId="3" fillId="21" borderId="40" xfId="1" applyNumberFormat="1" applyFont="1" applyFill="1" applyBorder="1" applyAlignment="1">
      <alignment horizontal="center" shrinkToFit="1"/>
    </xf>
    <xf numFmtId="166" fontId="1" fillId="20" borderId="35" xfId="1" applyNumberFormat="1" applyFill="1" applyBorder="1" applyAlignment="1">
      <alignment horizontal="center" shrinkToFit="1"/>
    </xf>
    <xf numFmtId="167" fontId="1" fillId="21" borderId="30" xfId="1" applyNumberFormat="1" applyFill="1" applyBorder="1" applyAlignment="1">
      <alignment horizontal="center" vertical="center"/>
    </xf>
    <xf numFmtId="167" fontId="1" fillId="21" borderId="32" xfId="1" applyNumberFormat="1" applyFill="1" applyBorder="1" applyAlignment="1">
      <alignment horizontal="center" vertical="center"/>
    </xf>
    <xf numFmtId="0" fontId="1" fillId="2" borderId="30" xfId="1" applyFill="1" applyBorder="1" applyAlignment="1">
      <alignment horizontal="center" vertical="center" textRotation="90" shrinkToFit="1"/>
    </xf>
    <xf numFmtId="0" fontId="1" fillId="2" borderId="31" xfId="1" applyFill="1" applyBorder="1" applyAlignment="1">
      <alignment horizontal="center" vertical="center" textRotation="90" shrinkToFit="1"/>
    </xf>
    <xf numFmtId="0" fontId="1" fillId="2" borderId="32" xfId="1" applyFill="1" applyBorder="1" applyAlignment="1">
      <alignment horizontal="center" vertical="center" textRotation="90" shrinkToFit="1"/>
    </xf>
    <xf numFmtId="0" fontId="1" fillId="20" borderId="30" xfId="1" applyFill="1" applyBorder="1" applyAlignment="1">
      <alignment horizontal="center" vertical="center" textRotation="90" shrinkToFit="1"/>
    </xf>
    <xf numFmtId="0" fontId="1" fillId="20" borderId="31" xfId="1" applyFill="1" applyBorder="1" applyAlignment="1">
      <alignment horizontal="center" vertical="center" textRotation="90" shrinkToFit="1"/>
    </xf>
    <xf numFmtId="0" fontId="1" fillId="20" borderId="32" xfId="1" applyFill="1" applyBorder="1" applyAlignment="1">
      <alignment horizontal="center" vertical="center" textRotation="90" shrinkToFit="1"/>
    </xf>
    <xf numFmtId="0" fontId="0" fillId="17" borderId="19" xfId="0" applyFill="1" applyBorder="1" applyAlignment="1">
      <alignment horizontal="left" vertical="center" wrapText="1"/>
    </xf>
    <xf numFmtId="0" fontId="0" fillId="17" borderId="15" xfId="0" applyFill="1" applyBorder="1" applyAlignment="1">
      <alignment horizontal="left" vertical="center" wrapText="1"/>
    </xf>
    <xf numFmtId="167" fontId="1" fillId="0" borderId="19" xfId="1" applyNumberFormat="1" applyBorder="1" applyAlignment="1">
      <alignment horizontal="center" vertical="center"/>
    </xf>
    <xf numFmtId="167" fontId="1" fillId="0" borderId="15" xfId="1" applyNumberFormat="1" applyBorder="1" applyAlignment="1">
      <alignment horizontal="center" vertical="center"/>
    </xf>
    <xf numFmtId="167" fontId="1" fillId="0" borderId="19" xfId="1" applyNumberFormat="1" applyBorder="1" applyAlignment="1">
      <alignment horizontal="right" vertical="center"/>
    </xf>
    <xf numFmtId="167" fontId="1" fillId="0" borderId="15" xfId="1" applyNumberFormat="1" applyBorder="1" applyAlignment="1">
      <alignment horizontal="right" vertical="center"/>
    </xf>
    <xf numFmtId="0" fontId="1" fillId="19" borderId="49" xfId="1" applyFill="1" applyBorder="1" applyAlignment="1">
      <alignment horizontal="left" vertical="center"/>
    </xf>
    <xf numFmtId="0" fontId="1" fillId="19" borderId="44" xfId="1" applyFill="1" applyBorder="1" applyAlignment="1">
      <alignment horizontal="left" vertical="center"/>
    </xf>
    <xf numFmtId="167" fontId="1" fillId="0" borderId="30" xfId="1" applyNumberFormat="1" applyBorder="1" applyAlignment="1">
      <alignment horizontal="center" vertical="center"/>
    </xf>
    <xf numFmtId="167" fontId="1" fillId="0" borderId="32" xfId="1" applyNumberFormat="1" applyBorder="1" applyAlignment="1">
      <alignment horizontal="center" vertical="center"/>
    </xf>
    <xf numFmtId="167" fontId="1" fillId="0" borderId="42" xfId="1" applyNumberFormat="1" applyBorder="1" applyAlignment="1">
      <alignment horizontal="center" vertical="center"/>
    </xf>
    <xf numFmtId="167" fontId="1" fillId="0" borderId="43" xfId="1" applyNumberFormat="1" applyBorder="1" applyAlignment="1">
      <alignment horizontal="center" vertical="center"/>
    </xf>
    <xf numFmtId="167" fontId="1" fillId="0" borderId="41" xfId="1" applyNumberFormat="1" applyBorder="1" applyAlignment="1">
      <alignment horizontal="right" vertical="center"/>
    </xf>
    <xf numFmtId="0" fontId="0" fillId="17" borderId="7" xfId="0" applyFill="1" applyBorder="1" applyAlignment="1">
      <alignment horizontal="left" vertical="center" wrapText="1"/>
    </xf>
    <xf numFmtId="167" fontId="1" fillId="0" borderId="6" xfId="1" applyNumberFormat="1" applyBorder="1" applyAlignment="1">
      <alignment horizontal="center" vertical="center"/>
    </xf>
    <xf numFmtId="167" fontId="1" fillId="0" borderId="6" xfId="1" applyNumberFormat="1" applyBorder="1" applyAlignment="1">
      <alignment horizontal="right" vertical="center"/>
    </xf>
    <xf numFmtId="0" fontId="2" fillId="18" borderId="30" xfId="1" applyFont="1" applyFill="1" applyBorder="1" applyAlignment="1">
      <alignment horizontal="left" vertical="center"/>
    </xf>
    <xf numFmtId="0" fontId="2" fillId="18" borderId="32" xfId="1" applyFont="1" applyFill="1" applyBorder="1" applyAlignment="1">
      <alignment horizontal="left" vertical="center"/>
    </xf>
    <xf numFmtId="167" fontId="1" fillId="18" borderId="4" xfId="1" applyNumberFormat="1" applyFill="1" applyBorder="1" applyAlignment="1">
      <alignment horizontal="center" vertical="center"/>
    </xf>
    <xf numFmtId="167" fontId="1" fillId="18" borderId="48" xfId="1" applyNumberFormat="1" applyFill="1" applyBorder="1" applyAlignment="1">
      <alignment horizontal="center" vertical="center"/>
    </xf>
    <xf numFmtId="167" fontId="1" fillId="18" borderId="2" xfId="1" applyNumberFormat="1" applyFill="1" applyBorder="1" applyAlignment="1">
      <alignment horizontal="center" vertical="center"/>
    </xf>
    <xf numFmtId="167" fontId="1" fillId="18" borderId="15" xfId="1" applyNumberFormat="1" applyFill="1" applyBorder="1" applyAlignment="1">
      <alignment horizontal="center" vertical="center"/>
    </xf>
    <xf numFmtId="0" fontId="0" fillId="17" borderId="2" xfId="0" applyFill="1" applyBorder="1" applyAlignment="1">
      <alignment horizontal="left" vertical="center" wrapText="1"/>
    </xf>
    <xf numFmtId="167" fontId="1" fillId="0" borderId="2" xfId="1" applyNumberFormat="1" applyBorder="1" applyAlignment="1">
      <alignment horizontal="right" vertical="center"/>
    </xf>
    <xf numFmtId="0" fontId="2" fillId="5" borderId="2" xfId="0" applyFont="1" applyFill="1" applyBorder="1" applyAlignment="1">
      <alignment horizontal="left" vertical="center" wrapText="1"/>
    </xf>
    <xf numFmtId="0" fontId="2" fillId="5" borderId="6" xfId="0" applyFont="1" applyFill="1" applyBorder="1" applyAlignment="1">
      <alignment horizontal="left" vertical="center" wrapText="1"/>
    </xf>
    <xf numFmtId="167" fontId="1" fillId="5" borderId="2" xfId="1" applyNumberFormat="1" applyFill="1" applyBorder="1" applyAlignment="1">
      <alignment horizontal="center" vertical="center"/>
    </xf>
    <xf numFmtId="167" fontId="1" fillId="5" borderId="15" xfId="1" applyNumberFormat="1" applyFill="1" applyBorder="1" applyAlignment="1">
      <alignment horizontal="center" vertical="center"/>
    </xf>
    <xf numFmtId="167" fontId="1" fillId="5" borderId="6" xfId="1" applyNumberFormat="1" applyFill="1" applyBorder="1" applyAlignment="1">
      <alignment horizontal="center" vertical="center"/>
    </xf>
    <xf numFmtId="0" fontId="0" fillId="16" borderId="19" xfId="0" applyFill="1" applyBorder="1" applyAlignment="1">
      <alignment horizontal="left" vertical="center" wrapText="1"/>
    </xf>
    <xf numFmtId="0" fontId="0" fillId="16" borderId="15" xfId="0" applyFill="1" applyBorder="1" applyAlignment="1">
      <alignment horizontal="left" vertical="center" wrapText="1"/>
    </xf>
    <xf numFmtId="0" fontId="0" fillId="16" borderId="6" xfId="0" applyFill="1" applyBorder="1" applyAlignment="1">
      <alignment horizontal="left" vertical="center" wrapText="1"/>
    </xf>
    <xf numFmtId="0" fontId="0" fillId="16" borderId="2" xfId="0" applyFill="1" applyBorder="1" applyAlignment="1">
      <alignment horizontal="left" vertical="center" wrapText="1"/>
    </xf>
    <xf numFmtId="0" fontId="0" fillId="14" borderId="19" xfId="0" applyFill="1" applyBorder="1" applyAlignment="1">
      <alignment horizontal="left" vertical="center" wrapText="1"/>
    </xf>
    <xf numFmtId="0" fontId="0" fillId="14" borderId="6" xfId="0" applyFill="1" applyBorder="1" applyAlignment="1">
      <alignment horizontal="left" vertical="center" wrapText="1"/>
    </xf>
    <xf numFmtId="0" fontId="2" fillId="15" borderId="2" xfId="0" applyFont="1" applyFill="1" applyBorder="1" applyAlignment="1">
      <alignment horizontal="left" vertical="center" wrapText="1"/>
    </xf>
    <xf numFmtId="0" fontId="2" fillId="15" borderId="6" xfId="0" applyFont="1" applyFill="1" applyBorder="1" applyAlignment="1">
      <alignment horizontal="left" vertical="center" wrapText="1"/>
    </xf>
    <xf numFmtId="167" fontId="1" fillId="15" borderId="2" xfId="1" applyNumberFormat="1" applyFill="1" applyBorder="1" applyAlignment="1">
      <alignment horizontal="center" vertical="center"/>
    </xf>
    <xf numFmtId="167" fontId="1" fillId="15" borderId="15" xfId="1" applyNumberFormat="1" applyFill="1" applyBorder="1" applyAlignment="1">
      <alignment horizontal="center" vertical="center"/>
    </xf>
    <xf numFmtId="167" fontId="1" fillId="15" borderId="6" xfId="1" applyNumberFormat="1" applyFill="1" applyBorder="1" applyAlignment="1">
      <alignment horizontal="center" vertical="center"/>
    </xf>
    <xf numFmtId="0" fontId="0" fillId="14" borderId="15" xfId="0" applyFill="1" applyBorder="1" applyAlignment="1">
      <alignment horizontal="left" vertical="center" wrapText="1"/>
    </xf>
    <xf numFmtId="0" fontId="0" fillId="14" borderId="2" xfId="0" applyFill="1" applyBorder="1" applyAlignment="1">
      <alignment horizontal="left" vertical="center" wrapText="1"/>
    </xf>
    <xf numFmtId="0" fontId="2" fillId="13" borderId="2" xfId="0" applyFont="1" applyFill="1" applyBorder="1" applyAlignment="1">
      <alignment horizontal="left" vertical="center" wrapText="1"/>
    </xf>
    <xf numFmtId="0" fontId="2" fillId="13" borderId="6" xfId="0" applyFont="1" applyFill="1" applyBorder="1" applyAlignment="1">
      <alignment horizontal="left" vertical="center" wrapText="1"/>
    </xf>
    <xf numFmtId="167" fontId="1" fillId="13" borderId="2" xfId="1" applyNumberFormat="1" applyFill="1" applyBorder="1" applyAlignment="1">
      <alignment horizontal="center" vertical="center"/>
    </xf>
    <xf numFmtId="167" fontId="1" fillId="13" borderId="15" xfId="1" applyNumberFormat="1" applyFill="1" applyBorder="1" applyAlignment="1">
      <alignment horizontal="center" vertical="center"/>
    </xf>
    <xf numFmtId="167" fontId="1" fillId="13" borderId="6" xfId="1" applyNumberFormat="1" applyFill="1" applyBorder="1" applyAlignment="1">
      <alignment horizontal="center" vertical="center"/>
    </xf>
    <xf numFmtId="0" fontId="0" fillId="12" borderId="2" xfId="0" applyFill="1" applyBorder="1" applyAlignment="1">
      <alignment horizontal="left" vertical="center" wrapText="1"/>
    </xf>
    <xf numFmtId="0" fontId="0" fillId="12" borderId="15" xfId="0" applyFill="1" applyBorder="1" applyAlignment="1">
      <alignment horizontal="left" vertical="center" wrapText="1"/>
    </xf>
    <xf numFmtId="0" fontId="0" fillId="12" borderId="19" xfId="0" applyFill="1" applyBorder="1" applyAlignment="1">
      <alignment horizontal="left" vertical="center" wrapText="1"/>
    </xf>
    <xf numFmtId="0" fontId="0" fillId="12" borderId="6" xfId="0" applyFill="1" applyBorder="1" applyAlignment="1">
      <alignment horizontal="left" vertical="center" wrapText="1"/>
    </xf>
    <xf numFmtId="0" fontId="0" fillId="10" borderId="19" xfId="0" applyFill="1" applyBorder="1" applyAlignment="1">
      <alignment horizontal="left" vertical="center" wrapText="1"/>
    </xf>
    <xf numFmtId="0" fontId="0" fillId="10" borderId="15" xfId="0" applyFill="1" applyBorder="1" applyAlignment="1">
      <alignment horizontal="left" vertical="center" wrapText="1"/>
    </xf>
    <xf numFmtId="0" fontId="2" fillId="11" borderId="2" xfId="1" applyFont="1" applyFill="1" applyBorder="1" applyAlignment="1">
      <alignment horizontal="left"/>
    </xf>
    <xf numFmtId="0" fontId="2" fillId="11" borderId="6" xfId="1" applyFont="1" applyFill="1" applyBorder="1" applyAlignment="1">
      <alignment horizontal="left"/>
    </xf>
    <xf numFmtId="167" fontId="1" fillId="11" borderId="2" xfId="1" applyNumberFormat="1" applyFill="1" applyBorder="1" applyAlignment="1">
      <alignment horizontal="center" vertical="center"/>
    </xf>
    <xf numFmtId="167" fontId="1" fillId="11" borderId="15" xfId="1" applyNumberFormat="1" applyFill="1" applyBorder="1" applyAlignment="1">
      <alignment horizontal="center" vertical="center"/>
    </xf>
    <xf numFmtId="167" fontId="1" fillId="11" borderId="6" xfId="1" applyNumberFormat="1" applyFill="1" applyBorder="1" applyAlignment="1">
      <alignment horizontal="center" vertical="center"/>
    </xf>
    <xf numFmtId="0" fontId="0" fillId="10" borderId="6" xfId="0" applyFill="1" applyBorder="1" applyAlignment="1">
      <alignment horizontal="left" vertical="center" wrapText="1"/>
    </xf>
    <xf numFmtId="0" fontId="0" fillId="10" borderId="2" xfId="0" applyFill="1" applyBorder="1" applyAlignment="1">
      <alignment horizontal="left" vertical="center" wrapText="1"/>
    </xf>
    <xf numFmtId="167" fontId="1" fillId="0" borderId="2" xfId="1" applyNumberFormat="1" applyBorder="1" applyAlignment="1">
      <alignment horizontal="center" vertical="center"/>
    </xf>
    <xf numFmtId="0" fontId="2" fillId="9" borderId="2" xfId="1" applyFont="1" applyFill="1" applyBorder="1" applyAlignment="1">
      <alignment horizontal="left"/>
    </xf>
    <xf numFmtId="0" fontId="2" fillId="9" borderId="6" xfId="1" applyFont="1" applyFill="1" applyBorder="1" applyAlignment="1">
      <alignment horizontal="left"/>
    </xf>
    <xf numFmtId="167" fontId="1" fillId="9" borderId="2" xfId="1" applyNumberFormat="1" applyFill="1" applyBorder="1" applyAlignment="1">
      <alignment horizontal="center" vertical="center"/>
    </xf>
    <xf numFmtId="167" fontId="1" fillId="9" borderId="6" xfId="1" applyNumberFormat="1" applyFill="1" applyBorder="1" applyAlignment="1">
      <alignment horizontal="center" vertical="center"/>
    </xf>
    <xf numFmtId="167" fontId="1" fillId="9" borderId="2" xfId="1" applyNumberFormat="1" applyFill="1" applyBorder="1" applyAlignment="1">
      <alignment horizontal="right" vertical="center"/>
    </xf>
    <xf numFmtId="167" fontId="1" fillId="9" borderId="6" xfId="1" applyNumberFormat="1" applyFill="1" applyBorder="1" applyAlignment="1">
      <alignment horizontal="right" vertical="center"/>
    </xf>
    <xf numFmtId="0" fontId="0" fillId="8" borderId="19" xfId="0" applyFill="1" applyBorder="1" applyAlignment="1">
      <alignment horizontal="left" vertical="center" wrapText="1"/>
    </xf>
    <xf numFmtId="0" fontId="0" fillId="8" borderId="15" xfId="0" applyFill="1" applyBorder="1" applyAlignment="1">
      <alignment horizontal="left" vertical="center" wrapText="1"/>
    </xf>
    <xf numFmtId="0" fontId="0" fillId="8" borderId="6" xfId="0" applyFill="1" applyBorder="1" applyAlignment="1">
      <alignment horizontal="left" vertical="center" wrapText="1"/>
    </xf>
    <xf numFmtId="0" fontId="0" fillId="8" borderId="2" xfId="0" applyFill="1" applyBorder="1" applyAlignment="1">
      <alignment horizontal="left" vertical="center" wrapText="1"/>
    </xf>
    <xf numFmtId="0" fontId="0" fillId="6" borderId="19" xfId="0" applyFill="1" applyBorder="1" applyAlignment="1">
      <alignment horizontal="left" vertical="center" wrapText="1"/>
    </xf>
    <xf numFmtId="0" fontId="0" fillId="6" borderId="6" xfId="0" applyFill="1" applyBorder="1" applyAlignment="1">
      <alignment horizontal="left" vertical="center" wrapText="1"/>
    </xf>
    <xf numFmtId="0" fontId="2" fillId="7" borderId="2" xfId="1" applyFont="1" applyFill="1" applyBorder="1" applyAlignment="1">
      <alignment horizontal="left"/>
    </xf>
    <xf numFmtId="0" fontId="2" fillId="7" borderId="6" xfId="1" applyFont="1" applyFill="1" applyBorder="1" applyAlignment="1">
      <alignment horizontal="left"/>
    </xf>
    <xf numFmtId="167" fontId="1" fillId="7" borderId="2" xfId="1" applyNumberFormat="1" applyFill="1" applyBorder="1" applyAlignment="1">
      <alignment horizontal="center" vertical="center"/>
    </xf>
    <xf numFmtId="167" fontId="1" fillId="7" borderId="6" xfId="1" applyNumberFormat="1" applyFill="1" applyBorder="1" applyAlignment="1">
      <alignment horizontal="center" vertical="center"/>
    </xf>
    <xf numFmtId="167" fontId="1" fillId="7" borderId="2" xfId="1" applyNumberFormat="1" applyFill="1" applyBorder="1" applyAlignment="1">
      <alignment horizontal="right" vertical="center"/>
    </xf>
    <xf numFmtId="167" fontId="1" fillId="7" borderId="6" xfId="1" applyNumberFormat="1" applyFill="1" applyBorder="1" applyAlignment="1">
      <alignment horizontal="right" vertical="center"/>
    </xf>
    <xf numFmtId="0" fontId="0" fillId="6" borderId="2" xfId="0" applyFill="1" applyBorder="1" applyAlignment="1">
      <alignment horizontal="left" vertical="center" wrapText="1"/>
    </xf>
    <xf numFmtId="0" fontId="0" fillId="6" borderId="15" xfId="0" applyFill="1" applyBorder="1" applyAlignment="1">
      <alignment horizontal="left" vertical="center" wrapText="1"/>
    </xf>
    <xf numFmtId="0" fontId="0" fillId="4" borderId="19" xfId="0" applyFill="1" applyBorder="1" applyAlignment="1">
      <alignment horizontal="left" vertical="center" wrapText="1"/>
    </xf>
    <xf numFmtId="0" fontId="0" fillId="4" borderId="6" xfId="0" applyFill="1" applyBorder="1" applyAlignment="1">
      <alignment horizontal="left" vertical="center" wrapText="1"/>
    </xf>
    <xf numFmtId="0" fontId="2" fillId="5" borderId="2" xfId="1" applyFont="1" applyFill="1" applyBorder="1" applyAlignment="1">
      <alignment horizontal="left" vertical="center"/>
    </xf>
    <xf numFmtId="0" fontId="2" fillId="5" borderId="6" xfId="1" applyFont="1" applyFill="1" applyBorder="1" applyAlignment="1">
      <alignment horizontal="left" vertical="center"/>
    </xf>
    <xf numFmtId="167" fontId="1" fillId="5" borderId="2" xfId="1" applyNumberFormat="1" applyFill="1" applyBorder="1" applyAlignment="1">
      <alignment horizontal="right" vertical="center"/>
    </xf>
    <xf numFmtId="167" fontId="1" fillId="5" borderId="6" xfId="1" applyNumberFormat="1" applyFill="1" applyBorder="1" applyAlignment="1">
      <alignment horizontal="right" vertical="center"/>
    </xf>
    <xf numFmtId="0" fontId="2" fillId="0" borderId="5" xfId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0" fontId="2" fillId="0" borderId="4" xfId="1" applyFont="1" applyBorder="1" applyAlignment="1">
      <alignment horizontal="center"/>
    </xf>
    <xf numFmtId="14" fontId="1" fillId="0" borderId="9" xfId="1" applyNumberFormat="1" applyBorder="1" applyAlignment="1">
      <alignment horizontal="center" shrinkToFit="1"/>
    </xf>
    <xf numFmtId="14" fontId="1" fillId="0" borderId="10" xfId="1" applyNumberFormat="1" applyBorder="1" applyAlignment="1">
      <alignment horizontal="center" shrinkToFit="1"/>
    </xf>
    <xf numFmtId="14" fontId="1" fillId="0" borderId="11" xfId="1" applyNumberFormat="1" applyBorder="1" applyAlignment="1">
      <alignment horizontal="center" shrinkToFit="1"/>
    </xf>
    <xf numFmtId="14" fontId="1" fillId="0" borderId="9" xfId="1" applyNumberFormat="1" applyBorder="1" applyAlignment="1">
      <alignment horizontal="center" vertical="center" shrinkToFit="1"/>
    </xf>
    <xf numFmtId="14" fontId="1" fillId="0" borderId="11" xfId="1" applyNumberFormat="1" applyBorder="1" applyAlignment="1">
      <alignment horizontal="center" vertical="center" shrinkToFit="1"/>
    </xf>
    <xf numFmtId="0" fontId="0" fillId="4" borderId="15" xfId="0" applyFill="1" applyBorder="1" applyAlignment="1">
      <alignment horizontal="left" vertical="center" wrapText="1"/>
    </xf>
    <xf numFmtId="20" fontId="1" fillId="3" borderId="12" xfId="1" applyNumberFormat="1" applyFill="1" applyBorder="1" applyAlignment="1">
      <alignment horizontal="center" vertical="center" textRotation="90"/>
    </xf>
    <xf numFmtId="20" fontId="1" fillId="3" borderId="13" xfId="1" applyNumberFormat="1" applyFill="1" applyBorder="1" applyAlignment="1">
      <alignment horizontal="center" vertical="center" textRotation="90"/>
    </xf>
    <xf numFmtId="20" fontId="1" fillId="3" borderId="14" xfId="1" applyNumberFormat="1" applyFill="1" applyBorder="1" applyAlignment="1">
      <alignment horizontal="center" vertical="center" textRotation="90"/>
    </xf>
    <xf numFmtId="0" fontId="1" fillId="4" borderId="7" xfId="1" applyFill="1" applyBorder="1" applyAlignment="1">
      <alignment horizontal="left" vertical="center"/>
    </xf>
    <xf numFmtId="0" fontId="1" fillId="4" borderId="15" xfId="1" applyFill="1" applyBorder="1" applyAlignment="1">
      <alignment horizontal="left" vertical="center"/>
    </xf>
    <xf numFmtId="0" fontId="1" fillId="0" borderId="5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1" fillId="0" borderId="8" xfId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1" fillId="2" borderId="8" xfId="1" applyFill="1" applyBorder="1" applyAlignment="1">
      <alignment horizontal="center"/>
    </xf>
    <xf numFmtId="0" fontId="1" fillId="2" borderId="0" xfId="1" applyFill="1" applyBorder="1" applyAlignment="1">
      <alignment horizontal="center"/>
    </xf>
    <xf numFmtId="0" fontId="1" fillId="2" borderId="1" xfId="1" applyFill="1" applyBorder="1" applyAlignment="1">
      <alignment horizontal="center"/>
    </xf>
    <xf numFmtId="0" fontId="4" fillId="0" borderId="5" xfId="1" applyFont="1" applyBorder="1" applyAlignment="1">
      <alignment horizontal="center"/>
    </xf>
    <xf numFmtId="0" fontId="4" fillId="0" borderId="3" xfId="1" applyFont="1" applyBorder="1" applyAlignment="1">
      <alignment horizontal="center"/>
    </xf>
    <xf numFmtId="0" fontId="4" fillId="0" borderId="4" xfId="1" applyFont="1" applyBorder="1" applyAlignment="1">
      <alignment horizontal="center"/>
    </xf>
    <xf numFmtId="0" fontId="1" fillId="20" borderId="8" xfId="1" applyFill="1" applyBorder="1" applyAlignment="1">
      <alignment horizontal="center"/>
    </xf>
    <xf numFmtId="0" fontId="1" fillId="20" borderId="0" xfId="1" applyFill="1" applyBorder="1" applyAlignment="1">
      <alignment horizontal="center"/>
    </xf>
    <xf numFmtId="0" fontId="1" fillId="20" borderId="1" xfId="1" applyFill="1" applyBorder="1" applyAlignment="1">
      <alignment horizontal="center"/>
    </xf>
    <xf numFmtId="0" fontId="1" fillId="22" borderId="9" xfId="1" applyFill="1" applyBorder="1" applyAlignment="1">
      <alignment horizontal="center"/>
    </xf>
    <xf numFmtId="0" fontId="1" fillId="22" borderId="10" xfId="1" applyFill="1" applyBorder="1" applyAlignment="1">
      <alignment horizontal="center"/>
    </xf>
    <xf numFmtId="0" fontId="1" fillId="22" borderId="11" xfId="1" applyFill="1" applyBorder="1" applyAlignment="1">
      <alignment horizontal="center"/>
    </xf>
    <xf numFmtId="0" fontId="1" fillId="23" borderId="8" xfId="1" applyFill="1" applyBorder="1" applyAlignment="1">
      <alignment horizontal="center"/>
    </xf>
    <xf numFmtId="0" fontId="1" fillId="23" borderId="0" xfId="1" applyFill="1" applyBorder="1" applyAlignment="1">
      <alignment horizontal="center"/>
    </xf>
    <xf numFmtId="0" fontId="1" fillId="23" borderId="1" xfId="1" applyFill="1" applyBorder="1" applyAlignment="1">
      <alignment horizontal="center"/>
    </xf>
    <xf numFmtId="165" fontId="3" fillId="21" borderId="23" xfId="1" applyNumberFormat="1" applyFont="1" applyFill="1" applyBorder="1" applyAlignment="1">
      <alignment horizontal="center" vertical="center" shrinkToFit="1"/>
    </xf>
    <xf numFmtId="165" fontId="3" fillId="21" borderId="24" xfId="1" applyNumberFormat="1" applyFont="1" applyFill="1" applyBorder="1" applyAlignment="1">
      <alignment horizontal="center" vertical="center" shrinkToFit="1"/>
    </xf>
    <xf numFmtId="165" fontId="3" fillId="21" borderId="25" xfId="1" applyNumberFormat="1" applyFont="1" applyFill="1" applyBorder="1" applyAlignment="1">
      <alignment horizontal="center" vertical="center" shrinkToFit="1"/>
    </xf>
    <xf numFmtId="0" fontId="1" fillId="21" borderId="23" xfId="1" applyFill="1" applyBorder="1" applyAlignment="1">
      <alignment horizontal="center" vertical="center" shrinkToFit="1"/>
    </xf>
    <xf numFmtId="0" fontId="1" fillId="21" borderId="24" xfId="1" applyFill="1" applyBorder="1" applyAlignment="1">
      <alignment horizontal="center" vertical="center" shrinkToFit="1"/>
    </xf>
    <xf numFmtId="0" fontId="1" fillId="21" borderId="25" xfId="1" applyFill="1" applyBorder="1" applyAlignment="1">
      <alignment horizontal="center" vertical="center" shrinkToFit="1"/>
    </xf>
    <xf numFmtId="166" fontId="1" fillId="23" borderId="12" xfId="1" applyNumberFormat="1" applyFill="1" applyBorder="1" applyAlignment="1">
      <alignment horizontal="center" vertical="center"/>
    </xf>
    <xf numFmtId="166" fontId="1" fillId="23" borderId="13" xfId="1" applyNumberFormat="1" applyFill="1" applyBorder="1" applyAlignment="1">
      <alignment horizontal="center" vertical="center"/>
    </xf>
    <xf numFmtId="166" fontId="1" fillId="23" borderId="14" xfId="1" applyNumberFormat="1" applyFill="1" applyBorder="1" applyAlignment="1">
      <alignment horizontal="center" vertical="center"/>
    </xf>
    <xf numFmtId="166" fontId="1" fillId="23" borderId="12" xfId="1" applyNumberFormat="1" applyFill="1" applyBorder="1" applyAlignment="1">
      <alignment horizontal="center"/>
    </xf>
    <xf numFmtId="166" fontId="1" fillId="23" borderId="14" xfId="1" applyNumberFormat="1" applyFill="1" applyBorder="1" applyAlignment="1">
      <alignment horizontal="center"/>
    </xf>
    <xf numFmtId="165" fontId="3" fillId="21" borderId="28" xfId="1" applyNumberFormat="1" applyFont="1" applyFill="1" applyBorder="1" applyAlignment="1">
      <alignment horizontal="center" vertical="center" shrinkToFit="1"/>
    </xf>
    <xf numFmtId="165" fontId="3" fillId="21" borderId="34" xfId="1" applyNumberFormat="1" applyFont="1" applyFill="1" applyBorder="1" applyAlignment="1">
      <alignment horizontal="center" vertical="center" shrinkToFit="1"/>
    </xf>
    <xf numFmtId="165" fontId="3" fillId="21" borderId="29" xfId="1" applyNumberFormat="1" applyFont="1" applyFill="1" applyBorder="1" applyAlignment="1">
      <alignment horizontal="center" vertical="center" shrinkToFit="1"/>
    </xf>
    <xf numFmtId="0" fontId="1" fillId="19" borderId="45" xfId="1" applyFill="1" applyBorder="1" applyAlignment="1">
      <alignment horizontal="left" vertical="center"/>
    </xf>
    <xf numFmtId="0" fontId="1" fillId="19" borderId="46" xfId="1" applyFill="1" applyBorder="1" applyAlignment="1">
      <alignment horizontal="left" vertical="center"/>
    </xf>
    <xf numFmtId="167" fontId="1" fillId="0" borderId="30" xfId="1" applyNumberFormat="1" applyBorder="1" applyAlignment="1">
      <alignment horizontal="right" vertical="center"/>
    </xf>
    <xf numFmtId="167" fontId="1" fillId="0" borderId="32" xfId="1" applyNumberFormat="1" applyBorder="1" applyAlignment="1">
      <alignment horizontal="right" vertical="center"/>
    </xf>
    <xf numFmtId="2" fontId="3" fillId="2" borderId="8" xfId="0" applyNumberFormat="1" applyFont="1" applyFill="1" applyBorder="1" applyAlignment="1">
      <alignment horizontal="center" vertical="center" shrinkToFit="1"/>
    </xf>
    <xf numFmtId="2" fontId="3" fillId="0" borderId="0" xfId="0" applyNumberFormat="1" applyFont="1" applyAlignment="1">
      <alignment horizontal="center" vertical="center" shrinkToFit="1"/>
    </xf>
    <xf numFmtId="2" fontId="3" fillId="0" borderId="1" xfId="0" applyNumberFormat="1" applyFont="1" applyBorder="1" applyAlignment="1">
      <alignment horizontal="center" vertical="center" shrinkToFit="1"/>
    </xf>
    <xf numFmtId="2" fontId="3" fillId="0" borderId="0" xfId="1" applyNumberFormat="1" applyFont="1" applyAlignment="1">
      <alignment horizontal="center" vertical="center" shrinkToFit="1"/>
    </xf>
    <xf numFmtId="2" fontId="3" fillId="0" borderId="8" xfId="0" applyNumberFormat="1" applyFont="1" applyBorder="1" applyAlignment="1">
      <alignment horizontal="center" vertical="center" shrinkToFit="1"/>
    </xf>
    <xf numFmtId="2" fontId="6" fillId="20" borderId="17" xfId="0" applyNumberFormat="1" applyFont="1" applyFill="1" applyBorder="1" applyAlignment="1">
      <alignment horizontal="center" vertical="center" shrinkToFit="1"/>
    </xf>
    <xf numFmtId="2" fontId="3" fillId="0" borderId="18" xfId="0" applyNumberFormat="1" applyFont="1" applyBorder="1" applyAlignment="1">
      <alignment horizontal="center" vertical="center" shrinkToFit="1"/>
    </xf>
    <xf numFmtId="2" fontId="3" fillId="0" borderId="16" xfId="0" applyNumberFormat="1" applyFont="1" applyBorder="1" applyAlignment="1">
      <alignment horizontal="center" vertical="center" shrinkToFit="1"/>
    </xf>
    <xf numFmtId="2" fontId="3" fillId="20" borderId="8" xfId="0" applyNumberFormat="1" applyFont="1" applyFill="1" applyBorder="1" applyAlignment="1">
      <alignment horizontal="center" vertical="center" shrinkToFit="1"/>
    </xf>
    <xf numFmtId="2" fontId="3" fillId="0" borderId="17" xfId="0" applyNumberFormat="1" applyFont="1" applyBorder="1" applyAlignment="1">
      <alignment horizontal="center" vertical="center" shrinkToFit="1"/>
    </xf>
    <xf numFmtId="2" fontId="3" fillId="20" borderId="18" xfId="0" applyNumberFormat="1" applyFont="1" applyFill="1" applyBorder="1" applyAlignment="1">
      <alignment horizontal="center" vertical="center" shrinkToFit="1"/>
    </xf>
    <xf numFmtId="2" fontId="3" fillId="0" borderId="21" xfId="0" applyNumberFormat="1" applyFont="1" applyBorder="1" applyAlignment="1">
      <alignment horizontal="center" vertical="center" shrinkToFit="1"/>
    </xf>
    <xf numFmtId="2" fontId="3" fillId="2" borderId="22" xfId="0" applyNumberFormat="1" applyFont="1" applyFill="1" applyBorder="1" applyAlignment="1">
      <alignment horizontal="center" vertical="center" shrinkToFit="1"/>
    </xf>
    <xf numFmtId="2" fontId="3" fillId="0" borderId="22" xfId="0" applyNumberFormat="1" applyFont="1" applyBorder="1" applyAlignment="1">
      <alignment horizontal="center" vertical="center" shrinkToFit="1"/>
    </xf>
    <xf numFmtId="2" fontId="3" fillId="0" borderId="20" xfId="0" applyNumberFormat="1" applyFont="1" applyBorder="1" applyAlignment="1">
      <alignment horizontal="center" vertical="center" shrinkToFit="1"/>
    </xf>
    <xf numFmtId="2" fontId="3" fillId="20" borderId="17" xfId="0" applyNumberFormat="1" applyFont="1" applyFill="1" applyBorder="1" applyAlignment="1">
      <alignment horizontal="center" vertical="center" shrinkToFit="1"/>
    </xf>
    <xf numFmtId="2" fontId="3" fillId="20" borderId="0" xfId="0" applyNumberFormat="1" applyFont="1" applyFill="1" applyAlignment="1">
      <alignment horizontal="center" vertical="center" shrinkToFit="1"/>
    </xf>
    <xf numFmtId="2" fontId="3" fillId="5" borderId="5" xfId="0" applyNumberFormat="1" applyFont="1" applyFill="1" applyBorder="1" applyAlignment="1">
      <alignment horizontal="center" vertical="center" shrinkToFit="1"/>
    </xf>
    <xf numFmtId="2" fontId="3" fillId="5" borderId="3" xfId="0" applyNumberFormat="1" applyFont="1" applyFill="1" applyBorder="1" applyAlignment="1">
      <alignment horizontal="center" vertical="center" shrinkToFit="1"/>
    </xf>
    <xf numFmtId="2" fontId="3" fillId="5" borderId="4" xfId="0" applyNumberFormat="1" applyFont="1" applyFill="1" applyBorder="1" applyAlignment="1">
      <alignment horizontal="center" vertical="center" shrinkToFit="1"/>
    </xf>
    <xf numFmtId="2" fontId="3" fillId="5" borderId="9" xfId="0" applyNumberFormat="1" applyFont="1" applyFill="1" applyBorder="1" applyAlignment="1">
      <alignment horizontal="center" vertical="center" shrinkToFit="1"/>
    </xf>
    <xf numFmtId="2" fontId="3" fillId="5" borderId="10" xfId="0" applyNumberFormat="1" applyFont="1" applyFill="1" applyBorder="1" applyAlignment="1">
      <alignment horizontal="center" vertical="center" shrinkToFit="1"/>
    </xf>
    <xf numFmtId="2" fontId="3" fillId="5" borderId="11" xfId="0" applyNumberFormat="1" applyFont="1" applyFill="1" applyBorder="1" applyAlignment="1">
      <alignment horizontal="center" vertical="center" shrinkToFit="1"/>
    </xf>
    <xf numFmtId="2" fontId="3" fillId="2" borderId="0" xfId="0" applyNumberFormat="1" applyFont="1" applyFill="1" applyAlignment="1">
      <alignment horizontal="center" vertical="center" shrinkToFit="1"/>
    </xf>
    <xf numFmtId="2" fontId="3" fillId="7" borderId="5" xfId="0" applyNumberFormat="1" applyFont="1" applyFill="1" applyBorder="1" applyAlignment="1">
      <alignment horizontal="center" vertical="center" shrinkToFit="1"/>
    </xf>
    <xf numFmtId="2" fontId="3" fillId="7" borderId="3" xfId="0" applyNumberFormat="1" applyFont="1" applyFill="1" applyBorder="1" applyAlignment="1">
      <alignment horizontal="center" vertical="center" shrinkToFit="1"/>
    </xf>
    <xf numFmtId="2" fontId="3" fillId="7" borderId="4" xfId="0" applyNumberFormat="1" applyFont="1" applyFill="1" applyBorder="1" applyAlignment="1">
      <alignment horizontal="center" vertical="center" shrinkToFit="1"/>
    </xf>
    <xf numFmtId="2" fontId="3" fillId="7" borderId="9" xfId="0" applyNumberFormat="1" applyFont="1" applyFill="1" applyBorder="1" applyAlignment="1">
      <alignment horizontal="center" vertical="center" shrinkToFit="1"/>
    </xf>
    <xf numFmtId="2" fontId="3" fillId="7" borderId="10" xfId="0" applyNumberFormat="1" applyFont="1" applyFill="1" applyBorder="1" applyAlignment="1">
      <alignment horizontal="center" vertical="center" shrinkToFit="1"/>
    </xf>
    <xf numFmtId="2" fontId="3" fillId="7" borderId="11" xfId="0" applyNumberFormat="1" applyFont="1" applyFill="1" applyBorder="1" applyAlignment="1">
      <alignment horizontal="center" vertical="center" shrinkToFit="1"/>
    </xf>
    <xf numFmtId="2" fontId="7" fillId="0" borderId="8" xfId="0" applyNumberFormat="1" applyFont="1" applyBorder="1" applyAlignment="1">
      <alignment horizontal="center" vertical="center" shrinkToFit="1"/>
    </xf>
    <xf numFmtId="2" fontId="7" fillId="0" borderId="0" xfId="0" applyNumberFormat="1" applyFont="1" applyAlignment="1">
      <alignment horizontal="center" vertical="center" shrinkToFit="1"/>
    </xf>
    <xf numFmtId="2" fontId="7" fillId="0" borderId="1" xfId="0" applyNumberFormat="1" applyFont="1" applyBorder="1" applyAlignment="1">
      <alignment horizontal="center" vertical="center" shrinkToFit="1"/>
    </xf>
    <xf numFmtId="2" fontId="7" fillId="0" borderId="17" xfId="0" applyNumberFormat="1" applyFont="1" applyBorder="1" applyAlignment="1">
      <alignment horizontal="center" vertical="center" shrinkToFit="1"/>
    </xf>
    <xf numFmtId="2" fontId="7" fillId="0" borderId="18" xfId="0" applyNumberFormat="1" applyFont="1" applyBorder="1" applyAlignment="1">
      <alignment horizontal="center" vertical="center" shrinkToFit="1"/>
    </xf>
    <xf numFmtId="2" fontId="7" fillId="20" borderId="18" xfId="0" applyNumberFormat="1" applyFont="1" applyFill="1" applyBorder="1" applyAlignment="1">
      <alignment horizontal="center" vertical="center" shrinkToFit="1"/>
    </xf>
    <xf numFmtId="2" fontId="7" fillId="0" borderId="16" xfId="0" applyNumberFormat="1" applyFont="1" applyBorder="1" applyAlignment="1">
      <alignment horizontal="center" vertical="center" shrinkToFit="1"/>
    </xf>
    <xf numFmtId="2" fontId="3" fillId="9" borderId="5" xfId="0" applyNumberFormat="1" applyFont="1" applyFill="1" applyBorder="1" applyAlignment="1">
      <alignment horizontal="center" vertical="center" shrinkToFit="1"/>
    </xf>
    <xf numFmtId="2" fontId="3" fillId="9" borderId="3" xfId="0" applyNumberFormat="1" applyFont="1" applyFill="1" applyBorder="1" applyAlignment="1">
      <alignment horizontal="center" vertical="center" shrinkToFit="1"/>
    </xf>
    <xf numFmtId="2" fontId="3" fillId="9" borderId="4" xfId="0" applyNumberFormat="1" applyFont="1" applyFill="1" applyBorder="1" applyAlignment="1">
      <alignment horizontal="center" vertical="center" shrinkToFit="1"/>
    </xf>
    <xf numFmtId="2" fontId="3" fillId="9" borderId="9" xfId="0" applyNumberFormat="1" applyFont="1" applyFill="1" applyBorder="1" applyAlignment="1">
      <alignment horizontal="center" vertical="center" shrinkToFit="1"/>
    </xf>
    <xf numFmtId="2" fontId="3" fillId="9" borderId="10" xfId="0" applyNumberFormat="1" applyFont="1" applyFill="1" applyBorder="1" applyAlignment="1">
      <alignment horizontal="center" vertical="center" shrinkToFit="1"/>
    </xf>
    <xf numFmtId="2" fontId="3" fillId="9" borderId="11" xfId="0" applyNumberFormat="1" applyFont="1" applyFill="1" applyBorder="1" applyAlignment="1">
      <alignment horizontal="center" vertical="center" shrinkToFit="1"/>
    </xf>
    <xf numFmtId="2" fontId="3" fillId="11" borderId="5" xfId="0" applyNumberFormat="1" applyFont="1" applyFill="1" applyBorder="1" applyAlignment="1">
      <alignment horizontal="center" vertical="center" shrinkToFit="1"/>
    </xf>
    <xf numFmtId="2" fontId="3" fillId="11" borderId="3" xfId="0" applyNumberFormat="1" applyFont="1" applyFill="1" applyBorder="1" applyAlignment="1">
      <alignment horizontal="center" vertical="center" shrinkToFit="1"/>
    </xf>
    <xf numFmtId="2" fontId="3" fillId="11" borderId="4" xfId="0" applyNumberFormat="1" applyFont="1" applyFill="1" applyBorder="1" applyAlignment="1">
      <alignment horizontal="center" vertical="center" shrinkToFit="1"/>
    </xf>
    <xf numFmtId="2" fontId="3" fillId="11" borderId="9" xfId="0" applyNumberFormat="1" applyFont="1" applyFill="1" applyBorder="1" applyAlignment="1">
      <alignment horizontal="center" vertical="center" shrinkToFit="1"/>
    </xf>
    <xf numFmtId="2" fontId="3" fillId="11" borderId="10" xfId="0" applyNumberFormat="1" applyFont="1" applyFill="1" applyBorder="1" applyAlignment="1">
      <alignment horizontal="center" vertical="center" shrinkToFit="1"/>
    </xf>
    <xf numFmtId="2" fontId="3" fillId="11" borderId="11" xfId="0" applyNumberFormat="1" applyFont="1" applyFill="1" applyBorder="1" applyAlignment="1">
      <alignment horizontal="center" vertical="center" shrinkToFit="1"/>
    </xf>
    <xf numFmtId="2" fontId="3" fillId="0" borderId="5" xfId="0" applyNumberFormat="1" applyFont="1" applyBorder="1" applyAlignment="1">
      <alignment horizontal="center" vertical="center" shrinkToFit="1"/>
    </xf>
    <xf numFmtId="2" fontId="3" fillId="0" borderId="3" xfId="0" applyNumberFormat="1" applyFont="1" applyBorder="1" applyAlignment="1">
      <alignment horizontal="center" vertical="center" shrinkToFit="1"/>
    </xf>
    <xf numFmtId="2" fontId="3" fillId="0" borderId="4" xfId="0" applyNumberFormat="1" applyFont="1" applyBorder="1" applyAlignment="1">
      <alignment horizontal="center" vertical="center" shrinkToFit="1"/>
    </xf>
    <xf numFmtId="2" fontId="3" fillId="2" borderId="3" xfId="0" applyNumberFormat="1" applyFont="1" applyFill="1" applyBorder="1" applyAlignment="1">
      <alignment horizontal="center" vertical="center" shrinkToFit="1"/>
    </xf>
    <xf numFmtId="2" fontId="3" fillId="13" borderId="5" xfId="0" applyNumberFormat="1" applyFont="1" applyFill="1" applyBorder="1" applyAlignment="1">
      <alignment horizontal="center" vertical="center" shrinkToFit="1"/>
    </xf>
    <xf numFmtId="2" fontId="3" fillId="13" borderId="3" xfId="0" applyNumberFormat="1" applyFont="1" applyFill="1" applyBorder="1" applyAlignment="1">
      <alignment horizontal="center" vertical="center" shrinkToFit="1"/>
    </xf>
    <xf numFmtId="2" fontId="3" fillId="13" borderId="4" xfId="0" applyNumberFormat="1" applyFont="1" applyFill="1" applyBorder="1" applyAlignment="1">
      <alignment horizontal="center" vertical="center" shrinkToFit="1"/>
    </xf>
    <xf numFmtId="2" fontId="3" fillId="13" borderId="9" xfId="0" applyNumberFormat="1" applyFont="1" applyFill="1" applyBorder="1" applyAlignment="1">
      <alignment horizontal="center" vertical="center" shrinkToFit="1"/>
    </xf>
    <xf numFmtId="2" fontId="3" fillId="13" borderId="10" xfId="0" applyNumberFormat="1" applyFont="1" applyFill="1" applyBorder="1" applyAlignment="1">
      <alignment horizontal="center" vertical="center" shrinkToFit="1"/>
    </xf>
    <xf numFmtId="2" fontId="3" fillId="13" borderId="11" xfId="0" applyNumberFormat="1" applyFont="1" applyFill="1" applyBorder="1" applyAlignment="1">
      <alignment horizontal="center" vertical="center" shrinkToFit="1"/>
    </xf>
    <xf numFmtId="2" fontId="3" fillId="2" borderId="5" xfId="0" applyNumberFormat="1" applyFont="1" applyFill="1" applyBorder="1" applyAlignment="1">
      <alignment horizontal="center" vertical="center" shrinkToFit="1"/>
    </xf>
    <xf numFmtId="2" fontId="3" fillId="2" borderId="21" xfId="0" applyNumberFormat="1" applyFont="1" applyFill="1" applyBorder="1" applyAlignment="1">
      <alignment horizontal="center" vertical="center" shrinkToFit="1"/>
    </xf>
    <xf numFmtId="2" fontId="3" fillId="15" borderId="5" xfId="0" applyNumberFormat="1" applyFont="1" applyFill="1" applyBorder="1" applyAlignment="1">
      <alignment horizontal="center" vertical="center" shrinkToFit="1"/>
    </xf>
    <xf numFmtId="2" fontId="3" fillId="15" borderId="3" xfId="0" applyNumberFormat="1" applyFont="1" applyFill="1" applyBorder="1" applyAlignment="1">
      <alignment horizontal="center" vertical="center" shrinkToFit="1"/>
    </xf>
    <xf numFmtId="2" fontId="3" fillId="15" borderId="4" xfId="0" applyNumberFormat="1" applyFont="1" applyFill="1" applyBorder="1" applyAlignment="1">
      <alignment horizontal="center" vertical="center" shrinkToFit="1"/>
    </xf>
    <xf numFmtId="2" fontId="3" fillId="15" borderId="17" xfId="0" applyNumberFormat="1" applyFont="1" applyFill="1" applyBorder="1" applyAlignment="1">
      <alignment horizontal="center" vertical="center" shrinkToFit="1"/>
    </xf>
    <xf numFmtId="2" fontId="3" fillId="15" borderId="18" xfId="0" applyNumberFormat="1" applyFont="1" applyFill="1" applyBorder="1" applyAlignment="1">
      <alignment horizontal="center" vertical="center" shrinkToFit="1"/>
    </xf>
    <xf numFmtId="2" fontId="3" fillId="15" borderId="16" xfId="0" applyNumberFormat="1" applyFont="1" applyFill="1" applyBorder="1" applyAlignment="1">
      <alignment horizontal="center" vertical="center" shrinkToFit="1"/>
    </xf>
    <xf numFmtId="2" fontId="3" fillId="18" borderId="5" xfId="0" applyNumberFormat="1" applyFont="1" applyFill="1" applyBorder="1" applyAlignment="1">
      <alignment horizontal="center" vertical="center" shrinkToFit="1"/>
    </xf>
    <xf numFmtId="2" fontId="3" fillId="18" borderId="3" xfId="0" applyNumberFormat="1" applyFont="1" applyFill="1" applyBorder="1" applyAlignment="1">
      <alignment horizontal="center" vertical="center" shrinkToFit="1"/>
    </xf>
    <xf numFmtId="2" fontId="3" fillId="18" borderId="4" xfId="0" applyNumberFormat="1" applyFont="1" applyFill="1" applyBorder="1" applyAlignment="1">
      <alignment horizontal="center" vertical="center" shrinkToFit="1"/>
    </xf>
    <xf numFmtId="2" fontId="3" fillId="18" borderId="9" xfId="0" applyNumberFormat="1" applyFont="1" applyFill="1" applyBorder="1" applyAlignment="1">
      <alignment horizontal="center" vertical="center" shrinkToFit="1"/>
    </xf>
    <xf numFmtId="2" fontId="3" fillId="18" borderId="10" xfId="0" applyNumberFormat="1" applyFont="1" applyFill="1" applyBorder="1" applyAlignment="1">
      <alignment horizontal="center" vertical="center" shrinkToFit="1"/>
    </xf>
    <xf numFmtId="2" fontId="3" fillId="18" borderId="11" xfId="0" applyNumberFormat="1" applyFont="1" applyFill="1" applyBorder="1" applyAlignment="1">
      <alignment horizontal="center" vertical="center" shrinkToFit="1"/>
    </xf>
    <xf numFmtId="2" fontId="3" fillId="20" borderId="9" xfId="0" applyNumberFormat="1" applyFont="1" applyFill="1" applyBorder="1" applyAlignment="1">
      <alignment horizontal="center" vertical="center" shrinkToFit="1"/>
    </xf>
    <xf numFmtId="2" fontId="3" fillId="20" borderId="10" xfId="0" applyNumberFormat="1" applyFont="1" applyFill="1" applyBorder="1" applyAlignment="1">
      <alignment horizontal="center" vertical="center" shrinkToFit="1"/>
    </xf>
    <xf numFmtId="2" fontId="3" fillId="0" borderId="11" xfId="0" applyNumberFormat="1" applyFont="1" applyBorder="1" applyAlignment="1">
      <alignment horizontal="center" vertical="center" shrinkToFit="1"/>
    </xf>
    <xf numFmtId="2" fontId="3" fillId="0" borderId="10" xfId="0" applyNumberFormat="1" applyFont="1" applyBorder="1" applyAlignment="1">
      <alignment horizontal="center" vertical="center" shrinkToFit="1"/>
    </xf>
    <xf numFmtId="2" fontId="3" fillId="0" borderId="9" xfId="0" applyNumberFormat="1" applyFont="1" applyBorder="1" applyAlignment="1">
      <alignment horizontal="center" vertical="center" shrinkToFit="1"/>
    </xf>
    <xf numFmtId="2" fontId="3" fillId="0" borderId="3" xfId="1" applyNumberFormat="1" applyFont="1" applyBorder="1" applyAlignment="1">
      <alignment horizontal="center" vertical="center" shrinkToFit="1"/>
    </xf>
    <xf numFmtId="2" fontId="3" fillId="0" borderId="26" xfId="1" applyNumberFormat="1" applyFont="1" applyBorder="1" applyAlignment="1">
      <alignment horizontal="center" vertical="center" shrinkToFit="1"/>
    </xf>
    <xf numFmtId="2" fontId="3" fillId="0" borderId="33" xfId="1" applyNumberFormat="1" applyFont="1" applyBorder="1" applyAlignment="1">
      <alignment horizontal="center" vertical="center" shrinkToFit="1"/>
    </xf>
    <xf numFmtId="2" fontId="3" fillId="0" borderId="27" xfId="1" applyNumberFormat="1" applyFont="1" applyBorder="1" applyAlignment="1">
      <alignment horizontal="center" vertical="center" shrinkToFit="1"/>
    </xf>
    <xf numFmtId="2" fontId="3" fillId="0" borderId="4" xfId="1" applyNumberFormat="1" applyFont="1" applyBorder="1" applyAlignment="1">
      <alignment horizontal="center" vertical="center" shrinkToFit="1"/>
    </xf>
    <xf numFmtId="2" fontId="3" fillId="0" borderId="5" xfId="1" applyNumberFormat="1" applyFont="1" applyBorder="1" applyAlignment="1">
      <alignment horizontal="center" vertical="center" shrinkToFit="1"/>
    </xf>
    <xf numFmtId="2" fontId="3" fillId="2" borderId="5" xfId="1" applyNumberFormat="1" applyFont="1" applyFill="1" applyBorder="1" applyAlignment="1">
      <alignment horizontal="center" vertical="center" shrinkToFit="1"/>
    </xf>
    <xf numFmtId="2" fontId="3" fillId="20" borderId="28" xfId="1" applyNumberFormat="1" applyFont="1" applyFill="1" applyBorder="1" applyAlignment="1">
      <alignment horizontal="center" vertical="center" shrinkToFit="1"/>
    </xf>
    <xf numFmtId="2" fontId="3" fillId="0" borderId="34" xfId="1" applyNumberFormat="1" applyFont="1" applyBorder="1" applyAlignment="1">
      <alignment horizontal="center" vertical="center" shrinkToFit="1"/>
    </xf>
    <xf numFmtId="2" fontId="3" fillId="0" borderId="29" xfId="1" applyNumberFormat="1" applyFont="1" applyBorder="1" applyAlignment="1">
      <alignment horizontal="center" vertical="center" shrinkToFit="1"/>
    </xf>
    <xf numFmtId="2" fontId="3" fillId="0" borderId="10" xfId="1" applyNumberFormat="1" applyFont="1" applyBorder="1" applyAlignment="1">
      <alignment horizontal="center" vertical="center" shrinkToFit="1"/>
    </xf>
    <xf numFmtId="2" fontId="3" fillId="0" borderId="11" xfId="1" applyNumberFormat="1" applyFont="1" applyBorder="1" applyAlignment="1">
      <alignment horizontal="center" vertical="center" shrinkToFit="1"/>
    </xf>
    <xf numFmtId="2" fontId="3" fillId="0" borderId="9" xfId="1" applyNumberFormat="1" applyFont="1" applyBorder="1" applyAlignment="1">
      <alignment horizontal="center" vertical="center" shrinkToFit="1"/>
    </xf>
    <xf numFmtId="2" fontId="3" fillId="20" borderId="9" xfId="1" applyNumberFormat="1" applyFont="1" applyFill="1" applyBorder="1" applyAlignment="1">
      <alignment horizontal="center" vertical="center" shrinkToFit="1"/>
    </xf>
  </cellXfs>
  <cellStyles count="2">
    <cellStyle name="Normal" xfId="0" builtinId="0"/>
    <cellStyle name="Normal 2" xfId="1" xr:uid="{7CD6BDC0-67FE-DA4E-AB78-48253C83123C}"/>
  </cellStyles>
  <dxfs count="0"/>
  <tableStyles count="0" defaultTableStyle="TableStyleMedium2" defaultPivotStyle="PivotStyleLight16"/>
  <colors>
    <mruColors>
      <color rgb="FF44B3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685</xdr:colOff>
      <xdr:row>50</xdr:row>
      <xdr:rowOff>0</xdr:rowOff>
    </xdr:from>
    <xdr:to>
      <xdr:col>24</xdr:col>
      <xdr:colOff>0</xdr:colOff>
      <xdr:row>51</xdr:row>
      <xdr:rowOff>2463</xdr:rowOff>
    </xdr:to>
    <xdr:sp macro="" textlink="">
      <xdr:nvSpPr>
        <xdr:cNvPr id="15" name="Right Triangle 14">
          <a:extLst>
            <a:ext uri="{FF2B5EF4-FFF2-40B4-BE49-F238E27FC236}">
              <a16:creationId xmlns:a16="http://schemas.microsoft.com/office/drawing/2014/main" id="{CC65700B-7DCC-A441-A54D-97C2117E9299}"/>
            </a:ext>
          </a:extLst>
        </xdr:cNvPr>
        <xdr:cNvSpPr/>
      </xdr:nvSpPr>
      <xdr:spPr>
        <a:xfrm rot="10800000" flipH="1">
          <a:off x="9143855" y="12521536"/>
          <a:ext cx="252485" cy="193378"/>
        </a:xfrm>
        <a:prstGeom prst="rtTriangle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50</xdr:row>
      <xdr:rowOff>0</xdr:rowOff>
    </xdr:from>
    <xdr:to>
      <xdr:col>23</xdr:col>
      <xdr:colOff>253315</xdr:colOff>
      <xdr:row>50</xdr:row>
      <xdr:rowOff>192548</xdr:rowOff>
    </xdr:to>
    <xdr:sp macro="" textlink="">
      <xdr:nvSpPr>
        <xdr:cNvPr id="14" name="Right Triangle 13">
          <a:extLst>
            <a:ext uri="{FF2B5EF4-FFF2-40B4-BE49-F238E27FC236}">
              <a16:creationId xmlns:a16="http://schemas.microsoft.com/office/drawing/2014/main" id="{FFEEF9B9-B2E5-0449-B175-5E21CC553C98}"/>
            </a:ext>
          </a:extLst>
        </xdr:cNvPr>
        <xdr:cNvSpPr/>
      </xdr:nvSpPr>
      <xdr:spPr>
        <a:xfrm flipH="1">
          <a:off x="9160387" y="12609871"/>
          <a:ext cx="253315" cy="192548"/>
        </a:xfrm>
        <a:prstGeom prst="rtTriangl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17072</xdr:colOff>
      <xdr:row>50</xdr:row>
      <xdr:rowOff>0</xdr:rowOff>
    </xdr:from>
    <xdr:to>
      <xdr:col>24</xdr:col>
      <xdr:colOff>16387</xdr:colOff>
      <xdr:row>50</xdr:row>
      <xdr:rowOff>192548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81CF7D22-2044-0109-845F-03AEB7C32EA5}"/>
            </a:ext>
          </a:extLst>
        </xdr:cNvPr>
        <xdr:cNvSpPr/>
      </xdr:nvSpPr>
      <xdr:spPr>
        <a:xfrm>
          <a:off x="9177459" y="12609871"/>
          <a:ext cx="253315" cy="19254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wrap="none" rtlCol="0" anchor="ctr" anchorCtr="1"/>
        <a:lstStyle/>
        <a:p>
          <a:pPr algn="l"/>
          <a:r>
            <a:rPr lang="en-US" sz="800">
              <a:solidFill>
                <a:schemeClr val="tx2"/>
              </a:solidFill>
            </a:rPr>
            <a:t>1.00</a:t>
          </a:r>
        </a:p>
      </xdr:txBody>
    </xdr:sp>
    <xdr:clientData/>
  </xdr:twoCellAnchor>
  <xdr:twoCellAnchor>
    <xdr:from>
      <xdr:col>8</xdr:col>
      <xdr:colOff>5685</xdr:colOff>
      <xdr:row>22</xdr:row>
      <xdr:rowOff>1</xdr:rowOff>
    </xdr:from>
    <xdr:to>
      <xdr:col>9</xdr:col>
      <xdr:colOff>0</xdr:colOff>
      <xdr:row>23</xdr:row>
      <xdr:rowOff>0</xdr:rowOff>
    </xdr:to>
    <xdr:sp macro="" textlink="">
      <xdr:nvSpPr>
        <xdr:cNvPr id="49" name="Right Triangle 48">
          <a:extLst>
            <a:ext uri="{FF2B5EF4-FFF2-40B4-BE49-F238E27FC236}">
              <a16:creationId xmlns:a16="http://schemas.microsoft.com/office/drawing/2014/main" id="{7C6757AC-8ABE-C040-B337-A34F1919820F}"/>
            </a:ext>
          </a:extLst>
        </xdr:cNvPr>
        <xdr:cNvSpPr/>
      </xdr:nvSpPr>
      <xdr:spPr>
        <a:xfrm rot="10800000" flipH="1">
          <a:off x="21414256" y="10445103"/>
          <a:ext cx="248315" cy="191795"/>
        </a:xfrm>
        <a:prstGeom prst="rtTriangle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5685</xdr:colOff>
      <xdr:row>22</xdr:row>
      <xdr:rowOff>0</xdr:rowOff>
    </xdr:from>
    <xdr:to>
      <xdr:col>9</xdr:col>
      <xdr:colOff>0</xdr:colOff>
      <xdr:row>23</xdr:row>
      <xdr:rowOff>1197</xdr:rowOff>
    </xdr:to>
    <xdr:sp macro="" textlink="">
      <xdr:nvSpPr>
        <xdr:cNvPr id="50" name="Right Triangle 49">
          <a:extLst>
            <a:ext uri="{FF2B5EF4-FFF2-40B4-BE49-F238E27FC236}">
              <a16:creationId xmlns:a16="http://schemas.microsoft.com/office/drawing/2014/main" id="{67DDD6FD-E7D9-7544-9341-0052B0666256}"/>
            </a:ext>
          </a:extLst>
        </xdr:cNvPr>
        <xdr:cNvSpPr/>
      </xdr:nvSpPr>
      <xdr:spPr>
        <a:xfrm flipH="1">
          <a:off x="5347280" y="7041960"/>
          <a:ext cx="247471" cy="191064"/>
        </a:xfrm>
        <a:prstGeom prst="rtTriangl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0</xdr:colOff>
      <xdr:row>22</xdr:row>
      <xdr:rowOff>371</xdr:rowOff>
    </xdr:from>
    <xdr:to>
      <xdr:col>8</xdr:col>
      <xdr:colOff>251638</xdr:colOff>
      <xdr:row>23</xdr:row>
      <xdr:rowOff>0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7C607E9F-A2CF-1349-B0FD-BF4617FFD805}"/>
            </a:ext>
          </a:extLst>
        </xdr:cNvPr>
        <xdr:cNvSpPr/>
      </xdr:nvSpPr>
      <xdr:spPr>
        <a:xfrm>
          <a:off x="21408571" y="10445473"/>
          <a:ext cx="251638" cy="1914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wrap="none" rtlCol="0" anchor="ctr" anchorCtr="1"/>
        <a:lstStyle/>
        <a:p>
          <a:pPr algn="l"/>
          <a:r>
            <a:rPr lang="en-US" sz="800">
              <a:solidFill>
                <a:schemeClr val="tx2"/>
              </a:solidFill>
            </a:rPr>
            <a:t>0.75</a:t>
          </a:r>
        </a:p>
      </xdr:txBody>
    </xdr:sp>
    <xdr:clientData/>
  </xdr:twoCellAnchor>
  <xdr:twoCellAnchor>
    <xdr:from>
      <xdr:col>15</xdr:col>
      <xdr:colOff>0</xdr:colOff>
      <xdr:row>42</xdr:row>
      <xdr:rowOff>192140</xdr:rowOff>
    </xdr:from>
    <xdr:to>
      <xdr:col>15</xdr:col>
      <xdr:colOff>253062</xdr:colOff>
      <xdr:row>44</xdr:row>
      <xdr:rowOff>0</xdr:rowOff>
    </xdr:to>
    <xdr:grpSp>
      <xdr:nvGrpSpPr>
        <xdr:cNvPr id="56" name="Group 55">
          <a:extLst>
            <a:ext uri="{FF2B5EF4-FFF2-40B4-BE49-F238E27FC236}">
              <a16:creationId xmlns:a16="http://schemas.microsoft.com/office/drawing/2014/main" id="{92ED74B6-0126-2541-9DAB-98211711364E}"/>
            </a:ext>
          </a:extLst>
        </xdr:cNvPr>
        <xdr:cNvGrpSpPr/>
      </xdr:nvGrpSpPr>
      <xdr:grpSpPr>
        <a:xfrm>
          <a:off x="6019800" y="9069440"/>
          <a:ext cx="186387" cy="188860"/>
          <a:chOff x="20535900" y="10972800"/>
          <a:chExt cx="876300" cy="190500"/>
        </a:xfrm>
      </xdr:grpSpPr>
      <xdr:sp macro="" textlink="">
        <xdr:nvSpPr>
          <xdr:cNvPr id="57" name="Right Triangle 56">
            <a:extLst>
              <a:ext uri="{FF2B5EF4-FFF2-40B4-BE49-F238E27FC236}">
                <a16:creationId xmlns:a16="http://schemas.microsoft.com/office/drawing/2014/main" id="{575B4BEA-08E4-03D3-FCFF-E041205994A1}"/>
              </a:ext>
            </a:extLst>
          </xdr:cNvPr>
          <xdr:cNvSpPr/>
        </xdr:nvSpPr>
        <xdr:spPr>
          <a:xfrm rot="10800000" flipH="1">
            <a:off x="20535900" y="10972800"/>
            <a:ext cx="876300" cy="190499"/>
          </a:xfrm>
          <a:prstGeom prst="rtTriangle">
            <a:avLst/>
          </a:prstGeom>
          <a:solidFill>
            <a:srgbClr val="00B05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solidFill>
                <a:srgbClr val="00B050"/>
              </a:solidFill>
            </a:endParaRPr>
          </a:p>
        </xdr:txBody>
      </xdr:sp>
      <xdr:grpSp>
        <xdr:nvGrpSpPr>
          <xdr:cNvPr id="58" name="Group 57">
            <a:extLst>
              <a:ext uri="{FF2B5EF4-FFF2-40B4-BE49-F238E27FC236}">
                <a16:creationId xmlns:a16="http://schemas.microsoft.com/office/drawing/2014/main" id="{4DFAFF4E-D113-E10B-E304-F18EE2ABA23C}"/>
              </a:ext>
            </a:extLst>
          </xdr:cNvPr>
          <xdr:cNvGrpSpPr/>
        </xdr:nvGrpSpPr>
        <xdr:grpSpPr>
          <a:xfrm>
            <a:off x="20535900" y="10972801"/>
            <a:ext cx="876300" cy="190499"/>
            <a:chOff x="20535900" y="10972801"/>
            <a:chExt cx="876300" cy="190499"/>
          </a:xfrm>
        </xdr:grpSpPr>
        <xdr:sp macro="" textlink="">
          <xdr:nvSpPr>
            <xdr:cNvPr id="59" name="Right Triangle 58">
              <a:extLst>
                <a:ext uri="{FF2B5EF4-FFF2-40B4-BE49-F238E27FC236}">
                  <a16:creationId xmlns:a16="http://schemas.microsoft.com/office/drawing/2014/main" id="{EFBEED09-75A1-A70C-A4A9-2F6F0F68AFEE}"/>
                </a:ext>
              </a:extLst>
            </xdr:cNvPr>
            <xdr:cNvSpPr/>
          </xdr:nvSpPr>
          <xdr:spPr>
            <a:xfrm flipH="1">
              <a:off x="20535900" y="10972801"/>
              <a:ext cx="876300" cy="190499"/>
            </a:xfrm>
            <a:prstGeom prst="rtTriangle">
              <a:avLst/>
            </a:prstGeom>
            <a:solidFill>
              <a:srgbClr val="FF0000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60" name="Rectangle 59">
              <a:extLst>
                <a:ext uri="{FF2B5EF4-FFF2-40B4-BE49-F238E27FC236}">
                  <a16:creationId xmlns:a16="http://schemas.microsoft.com/office/drawing/2014/main" id="{1AE19B22-5B7C-436F-A38C-9E201D30B28C}"/>
                </a:ext>
              </a:extLst>
            </xdr:cNvPr>
            <xdr:cNvSpPr/>
          </xdr:nvSpPr>
          <xdr:spPr>
            <a:xfrm>
              <a:off x="20535900" y="10973171"/>
              <a:ext cx="876300" cy="190129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vert="horz" wrap="none" rtlCol="0" anchor="ctr" anchorCtr="1"/>
            <a:lstStyle/>
            <a:p>
              <a:pPr algn="l"/>
              <a:r>
                <a:rPr lang="en-US" sz="800">
                  <a:solidFill>
                    <a:schemeClr val="tx2"/>
                  </a:solidFill>
                </a:rPr>
                <a:t>0.50</a:t>
              </a:r>
            </a:p>
          </xdr:txBody>
        </xdr:sp>
      </xdr:grpSp>
    </xdr:grpSp>
    <xdr:clientData/>
  </xdr:twoCellAnchor>
  <xdr:twoCellAnchor>
    <xdr:from>
      <xdr:col>11</xdr:col>
      <xdr:colOff>2330</xdr:colOff>
      <xdr:row>29</xdr:row>
      <xdr:rowOff>3175</xdr:rowOff>
    </xdr:from>
    <xdr:to>
      <xdr:col>12</xdr:col>
      <xdr:colOff>2331</xdr:colOff>
      <xdr:row>30</xdr:row>
      <xdr:rowOff>3175</xdr:rowOff>
    </xdr:to>
    <xdr:grpSp>
      <xdr:nvGrpSpPr>
        <xdr:cNvPr id="61" name="Group 60">
          <a:extLst>
            <a:ext uri="{FF2B5EF4-FFF2-40B4-BE49-F238E27FC236}">
              <a16:creationId xmlns:a16="http://schemas.microsoft.com/office/drawing/2014/main" id="{682B5ED8-B984-EC43-BA15-D72A2CFFE63B}"/>
            </a:ext>
          </a:extLst>
        </xdr:cNvPr>
        <xdr:cNvGrpSpPr/>
      </xdr:nvGrpSpPr>
      <xdr:grpSpPr>
        <a:xfrm>
          <a:off x="5260130" y="6403975"/>
          <a:ext cx="190501" cy="190500"/>
          <a:chOff x="20535900" y="10972800"/>
          <a:chExt cx="876300" cy="190500"/>
        </a:xfrm>
      </xdr:grpSpPr>
      <xdr:sp macro="" textlink="">
        <xdr:nvSpPr>
          <xdr:cNvPr id="62" name="Right Triangle 61">
            <a:extLst>
              <a:ext uri="{FF2B5EF4-FFF2-40B4-BE49-F238E27FC236}">
                <a16:creationId xmlns:a16="http://schemas.microsoft.com/office/drawing/2014/main" id="{5865F780-FA7E-857D-F65D-5F659D28E340}"/>
              </a:ext>
            </a:extLst>
          </xdr:cNvPr>
          <xdr:cNvSpPr/>
        </xdr:nvSpPr>
        <xdr:spPr>
          <a:xfrm rot="10800000" flipH="1">
            <a:off x="20535900" y="10972800"/>
            <a:ext cx="876300" cy="190499"/>
          </a:xfrm>
          <a:prstGeom prst="rtTriangle">
            <a:avLst/>
          </a:prstGeom>
          <a:solidFill>
            <a:srgbClr val="00B05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solidFill>
                <a:srgbClr val="00B050"/>
              </a:solidFill>
            </a:endParaRPr>
          </a:p>
        </xdr:txBody>
      </xdr:sp>
      <xdr:grpSp>
        <xdr:nvGrpSpPr>
          <xdr:cNvPr id="63" name="Group 62">
            <a:extLst>
              <a:ext uri="{FF2B5EF4-FFF2-40B4-BE49-F238E27FC236}">
                <a16:creationId xmlns:a16="http://schemas.microsoft.com/office/drawing/2014/main" id="{CA973280-8E3F-779C-6D85-2A6F72670D12}"/>
              </a:ext>
            </a:extLst>
          </xdr:cNvPr>
          <xdr:cNvGrpSpPr/>
        </xdr:nvGrpSpPr>
        <xdr:grpSpPr>
          <a:xfrm>
            <a:off x="20535900" y="10972801"/>
            <a:ext cx="876300" cy="190499"/>
            <a:chOff x="20535900" y="10972801"/>
            <a:chExt cx="876300" cy="190499"/>
          </a:xfrm>
        </xdr:grpSpPr>
        <xdr:sp macro="" textlink="">
          <xdr:nvSpPr>
            <xdr:cNvPr id="64" name="Right Triangle 63">
              <a:extLst>
                <a:ext uri="{FF2B5EF4-FFF2-40B4-BE49-F238E27FC236}">
                  <a16:creationId xmlns:a16="http://schemas.microsoft.com/office/drawing/2014/main" id="{36AD0B88-404F-185E-7DBD-1B129CCBDBC7}"/>
                </a:ext>
              </a:extLst>
            </xdr:cNvPr>
            <xdr:cNvSpPr/>
          </xdr:nvSpPr>
          <xdr:spPr>
            <a:xfrm flipH="1">
              <a:off x="20535900" y="10972801"/>
              <a:ext cx="876300" cy="190499"/>
            </a:xfrm>
            <a:prstGeom prst="rtTriangle">
              <a:avLst/>
            </a:prstGeom>
            <a:solidFill>
              <a:srgbClr val="FF0000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65" name="Rectangle 64">
              <a:extLst>
                <a:ext uri="{FF2B5EF4-FFF2-40B4-BE49-F238E27FC236}">
                  <a16:creationId xmlns:a16="http://schemas.microsoft.com/office/drawing/2014/main" id="{C6C68750-B3DF-08E8-85E4-05FE4E613196}"/>
                </a:ext>
              </a:extLst>
            </xdr:cNvPr>
            <xdr:cNvSpPr/>
          </xdr:nvSpPr>
          <xdr:spPr>
            <a:xfrm>
              <a:off x="20535900" y="10973171"/>
              <a:ext cx="876300" cy="190129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vert="horz" wrap="none" rtlCol="0" anchor="ctr" anchorCtr="1"/>
            <a:lstStyle/>
            <a:p>
              <a:pPr algn="l"/>
              <a:r>
                <a:rPr lang="en-US" sz="800">
                  <a:solidFill>
                    <a:schemeClr val="tx2"/>
                  </a:solidFill>
                </a:rPr>
                <a:t>1.00</a:t>
              </a:r>
            </a:p>
          </xdr:txBody>
        </xdr:sp>
      </xdr:grpSp>
    </xdr:grpSp>
    <xdr:clientData/>
  </xdr:twoCellAnchor>
  <xdr:twoCellAnchor>
    <xdr:from>
      <xdr:col>15</xdr:col>
      <xdr:colOff>0</xdr:colOff>
      <xdr:row>29</xdr:row>
      <xdr:rowOff>189302</xdr:rowOff>
    </xdr:from>
    <xdr:to>
      <xdr:col>16</xdr:col>
      <xdr:colOff>0</xdr:colOff>
      <xdr:row>31</xdr:row>
      <xdr:rowOff>0</xdr:rowOff>
    </xdr:to>
    <xdr:grpSp>
      <xdr:nvGrpSpPr>
        <xdr:cNvPr id="66" name="Group 65">
          <a:extLst>
            <a:ext uri="{FF2B5EF4-FFF2-40B4-BE49-F238E27FC236}">
              <a16:creationId xmlns:a16="http://schemas.microsoft.com/office/drawing/2014/main" id="{CC08DAF3-BAF5-9D4F-8822-771CA124450C}"/>
            </a:ext>
          </a:extLst>
        </xdr:cNvPr>
        <xdr:cNvGrpSpPr/>
      </xdr:nvGrpSpPr>
      <xdr:grpSpPr>
        <a:xfrm>
          <a:off x="6019800" y="6590102"/>
          <a:ext cx="190500" cy="191698"/>
          <a:chOff x="20535900" y="10401300"/>
          <a:chExt cx="876300" cy="191697"/>
        </a:xfrm>
      </xdr:grpSpPr>
      <xdr:grpSp>
        <xdr:nvGrpSpPr>
          <xdr:cNvPr id="67" name="Group 66">
            <a:extLst>
              <a:ext uri="{FF2B5EF4-FFF2-40B4-BE49-F238E27FC236}">
                <a16:creationId xmlns:a16="http://schemas.microsoft.com/office/drawing/2014/main" id="{5E5F24CE-A643-CF86-C4A0-6AB3E4D8DE63}"/>
              </a:ext>
            </a:extLst>
          </xdr:cNvPr>
          <xdr:cNvGrpSpPr/>
        </xdr:nvGrpSpPr>
        <xdr:grpSpPr>
          <a:xfrm>
            <a:off x="20541583" y="10401300"/>
            <a:ext cx="870617" cy="191697"/>
            <a:chOff x="20541583" y="10591800"/>
            <a:chExt cx="870617" cy="191697"/>
          </a:xfrm>
        </xdr:grpSpPr>
        <xdr:sp macro="" textlink="">
          <xdr:nvSpPr>
            <xdr:cNvPr id="69" name="Right Triangle 68">
              <a:extLst>
                <a:ext uri="{FF2B5EF4-FFF2-40B4-BE49-F238E27FC236}">
                  <a16:creationId xmlns:a16="http://schemas.microsoft.com/office/drawing/2014/main" id="{4820E72D-6B29-5D3E-2487-001250AAA728}"/>
                </a:ext>
              </a:extLst>
            </xdr:cNvPr>
            <xdr:cNvSpPr/>
          </xdr:nvSpPr>
          <xdr:spPr>
            <a:xfrm rot="10800000" flipH="1">
              <a:off x="20541585" y="10591800"/>
              <a:ext cx="870615" cy="190499"/>
            </a:xfrm>
            <a:prstGeom prst="rtTriangle">
              <a:avLst/>
            </a:prstGeom>
            <a:solidFill>
              <a:srgbClr val="0070C0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70" name="Right Triangle 69">
              <a:extLst>
                <a:ext uri="{FF2B5EF4-FFF2-40B4-BE49-F238E27FC236}">
                  <a16:creationId xmlns:a16="http://schemas.microsoft.com/office/drawing/2014/main" id="{0812A565-3716-B09B-9315-4E1710BB8445}"/>
                </a:ext>
              </a:extLst>
            </xdr:cNvPr>
            <xdr:cNvSpPr/>
          </xdr:nvSpPr>
          <xdr:spPr>
            <a:xfrm flipH="1">
              <a:off x="20541583" y="10591800"/>
              <a:ext cx="870616" cy="191697"/>
            </a:xfrm>
            <a:prstGeom prst="rtTriangle">
              <a:avLst/>
            </a:prstGeom>
            <a:solidFill>
              <a:srgbClr val="FF0000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sp macro="" textlink="">
        <xdr:nvSpPr>
          <xdr:cNvPr id="68" name="Rectangle 67">
            <a:extLst>
              <a:ext uri="{FF2B5EF4-FFF2-40B4-BE49-F238E27FC236}">
                <a16:creationId xmlns:a16="http://schemas.microsoft.com/office/drawing/2014/main" id="{E04DD767-8AE1-FBA1-A3D9-E41A80E50AB7}"/>
              </a:ext>
            </a:extLst>
          </xdr:cNvPr>
          <xdr:cNvSpPr/>
        </xdr:nvSpPr>
        <xdr:spPr>
          <a:xfrm>
            <a:off x="20535900" y="10401671"/>
            <a:ext cx="876300" cy="19012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vert="horz" wrap="none" rtlCol="0" anchor="ctr" anchorCtr="1"/>
          <a:lstStyle/>
          <a:p>
            <a:pPr algn="l"/>
            <a:r>
              <a:rPr lang="en-US" sz="800">
                <a:solidFill>
                  <a:schemeClr val="tx2"/>
                </a:solidFill>
              </a:rPr>
              <a:t>0.25</a:t>
            </a:r>
          </a:p>
        </xdr:txBody>
      </xdr:sp>
    </xdr:grpSp>
    <xdr:clientData/>
  </xdr:twoCellAnchor>
  <xdr:twoCellAnchor>
    <xdr:from>
      <xdr:col>8</xdr:col>
      <xdr:colOff>0</xdr:colOff>
      <xdr:row>21</xdr:row>
      <xdr:rowOff>0</xdr:rowOff>
    </xdr:from>
    <xdr:to>
      <xdr:col>9</xdr:col>
      <xdr:colOff>1</xdr:colOff>
      <xdr:row>22</xdr:row>
      <xdr:rowOff>0</xdr:rowOff>
    </xdr:to>
    <xdr:grpSp>
      <xdr:nvGrpSpPr>
        <xdr:cNvPr id="71" name="Group 70">
          <a:extLst>
            <a:ext uri="{FF2B5EF4-FFF2-40B4-BE49-F238E27FC236}">
              <a16:creationId xmlns:a16="http://schemas.microsoft.com/office/drawing/2014/main" id="{9B79CF89-583A-4340-A667-B85DF39CFB4F}"/>
            </a:ext>
          </a:extLst>
        </xdr:cNvPr>
        <xdr:cNvGrpSpPr/>
      </xdr:nvGrpSpPr>
      <xdr:grpSpPr>
        <a:xfrm>
          <a:off x="4686300" y="4876800"/>
          <a:ext cx="190501" cy="190500"/>
          <a:chOff x="20535900" y="10972800"/>
          <a:chExt cx="876300" cy="190500"/>
        </a:xfrm>
      </xdr:grpSpPr>
      <xdr:sp macro="" textlink="">
        <xdr:nvSpPr>
          <xdr:cNvPr id="72" name="Right Triangle 71">
            <a:extLst>
              <a:ext uri="{FF2B5EF4-FFF2-40B4-BE49-F238E27FC236}">
                <a16:creationId xmlns:a16="http://schemas.microsoft.com/office/drawing/2014/main" id="{4A2E4021-BCD2-1809-35EF-7E4DD34C0C70}"/>
              </a:ext>
            </a:extLst>
          </xdr:cNvPr>
          <xdr:cNvSpPr/>
        </xdr:nvSpPr>
        <xdr:spPr>
          <a:xfrm rot="10800000" flipH="1">
            <a:off x="20535900" y="10972800"/>
            <a:ext cx="876300" cy="190499"/>
          </a:xfrm>
          <a:prstGeom prst="rtTriangle">
            <a:avLst/>
          </a:prstGeom>
          <a:solidFill>
            <a:srgbClr val="00B05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solidFill>
                <a:srgbClr val="00B050"/>
              </a:solidFill>
            </a:endParaRPr>
          </a:p>
        </xdr:txBody>
      </xdr:sp>
      <xdr:grpSp>
        <xdr:nvGrpSpPr>
          <xdr:cNvPr id="73" name="Group 72">
            <a:extLst>
              <a:ext uri="{FF2B5EF4-FFF2-40B4-BE49-F238E27FC236}">
                <a16:creationId xmlns:a16="http://schemas.microsoft.com/office/drawing/2014/main" id="{E1789576-F652-81C4-2BA5-4542341D096C}"/>
              </a:ext>
            </a:extLst>
          </xdr:cNvPr>
          <xdr:cNvGrpSpPr/>
        </xdr:nvGrpSpPr>
        <xdr:grpSpPr>
          <a:xfrm>
            <a:off x="20535900" y="10972801"/>
            <a:ext cx="876300" cy="190499"/>
            <a:chOff x="20535900" y="10972801"/>
            <a:chExt cx="876300" cy="190499"/>
          </a:xfrm>
        </xdr:grpSpPr>
        <xdr:sp macro="" textlink="">
          <xdr:nvSpPr>
            <xdr:cNvPr id="74" name="Right Triangle 73">
              <a:extLst>
                <a:ext uri="{FF2B5EF4-FFF2-40B4-BE49-F238E27FC236}">
                  <a16:creationId xmlns:a16="http://schemas.microsoft.com/office/drawing/2014/main" id="{0B9D9B39-7FC6-9BA4-0D52-826DDD17A275}"/>
                </a:ext>
              </a:extLst>
            </xdr:cNvPr>
            <xdr:cNvSpPr/>
          </xdr:nvSpPr>
          <xdr:spPr>
            <a:xfrm flipH="1">
              <a:off x="20535900" y="10972801"/>
              <a:ext cx="876300" cy="190499"/>
            </a:xfrm>
            <a:prstGeom prst="rtTriangle">
              <a:avLst/>
            </a:prstGeom>
            <a:solidFill>
              <a:srgbClr val="FF0000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75" name="Rectangle 74">
              <a:extLst>
                <a:ext uri="{FF2B5EF4-FFF2-40B4-BE49-F238E27FC236}">
                  <a16:creationId xmlns:a16="http://schemas.microsoft.com/office/drawing/2014/main" id="{1C865052-3983-A64B-2215-8D25A6194EBE}"/>
                </a:ext>
              </a:extLst>
            </xdr:cNvPr>
            <xdr:cNvSpPr/>
          </xdr:nvSpPr>
          <xdr:spPr>
            <a:xfrm>
              <a:off x="20535900" y="10973171"/>
              <a:ext cx="876300" cy="190129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vert="horz" wrap="none" rtlCol="0" anchor="ctr" anchorCtr="1"/>
            <a:lstStyle/>
            <a:p>
              <a:pPr algn="l"/>
              <a:r>
                <a:rPr lang="en-US" sz="800">
                  <a:solidFill>
                    <a:schemeClr val="tx2"/>
                  </a:solidFill>
                </a:rPr>
                <a:t>0.75</a:t>
              </a:r>
            </a:p>
          </xdr:txBody>
        </xdr:sp>
      </xdr:grpSp>
    </xdr:grpSp>
    <xdr:clientData/>
  </xdr:twoCellAnchor>
  <xdr:twoCellAnchor>
    <xdr:from>
      <xdr:col>44</xdr:col>
      <xdr:colOff>0</xdr:colOff>
      <xdr:row>68</xdr:row>
      <xdr:rowOff>192288</xdr:rowOff>
    </xdr:from>
    <xdr:to>
      <xdr:col>44</xdr:col>
      <xdr:colOff>254894</xdr:colOff>
      <xdr:row>69</xdr:row>
      <xdr:rowOff>192289</xdr:rowOff>
    </xdr:to>
    <xdr:grpSp>
      <xdr:nvGrpSpPr>
        <xdr:cNvPr id="79" name="Group 78">
          <a:extLst>
            <a:ext uri="{FF2B5EF4-FFF2-40B4-BE49-F238E27FC236}">
              <a16:creationId xmlns:a16="http://schemas.microsoft.com/office/drawing/2014/main" id="{E35D4BEF-022F-2044-BF7F-AD7D22A3167E}"/>
            </a:ext>
          </a:extLst>
        </xdr:cNvPr>
        <xdr:cNvGrpSpPr/>
      </xdr:nvGrpSpPr>
      <xdr:grpSpPr>
        <a:xfrm>
          <a:off x="11544300" y="14022588"/>
          <a:ext cx="188219" cy="190501"/>
          <a:chOff x="20535900" y="10972800"/>
          <a:chExt cx="876300" cy="190500"/>
        </a:xfrm>
      </xdr:grpSpPr>
      <xdr:sp macro="" textlink="">
        <xdr:nvSpPr>
          <xdr:cNvPr id="80" name="Right Triangle 79">
            <a:extLst>
              <a:ext uri="{FF2B5EF4-FFF2-40B4-BE49-F238E27FC236}">
                <a16:creationId xmlns:a16="http://schemas.microsoft.com/office/drawing/2014/main" id="{74AD99F8-88C6-1D7C-05D2-6993CBB62D1D}"/>
              </a:ext>
            </a:extLst>
          </xdr:cNvPr>
          <xdr:cNvSpPr/>
        </xdr:nvSpPr>
        <xdr:spPr>
          <a:xfrm rot="10800000" flipH="1">
            <a:off x="20535900" y="10972800"/>
            <a:ext cx="876300" cy="190499"/>
          </a:xfrm>
          <a:prstGeom prst="rtTriangle">
            <a:avLst/>
          </a:prstGeom>
          <a:solidFill>
            <a:srgbClr val="00B05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solidFill>
                <a:srgbClr val="00B050"/>
              </a:solidFill>
            </a:endParaRPr>
          </a:p>
        </xdr:txBody>
      </xdr:sp>
      <xdr:grpSp>
        <xdr:nvGrpSpPr>
          <xdr:cNvPr id="81" name="Group 80">
            <a:extLst>
              <a:ext uri="{FF2B5EF4-FFF2-40B4-BE49-F238E27FC236}">
                <a16:creationId xmlns:a16="http://schemas.microsoft.com/office/drawing/2014/main" id="{DB895C67-033A-9151-FA5A-C462C6661D2D}"/>
              </a:ext>
            </a:extLst>
          </xdr:cNvPr>
          <xdr:cNvGrpSpPr/>
        </xdr:nvGrpSpPr>
        <xdr:grpSpPr>
          <a:xfrm>
            <a:off x="20535900" y="10972801"/>
            <a:ext cx="876300" cy="190499"/>
            <a:chOff x="20535900" y="10972801"/>
            <a:chExt cx="876300" cy="190499"/>
          </a:xfrm>
        </xdr:grpSpPr>
        <xdr:sp macro="" textlink="">
          <xdr:nvSpPr>
            <xdr:cNvPr id="82" name="Right Triangle 81">
              <a:extLst>
                <a:ext uri="{FF2B5EF4-FFF2-40B4-BE49-F238E27FC236}">
                  <a16:creationId xmlns:a16="http://schemas.microsoft.com/office/drawing/2014/main" id="{0FA707F9-8644-8034-1887-25A60DB78E4D}"/>
                </a:ext>
              </a:extLst>
            </xdr:cNvPr>
            <xdr:cNvSpPr/>
          </xdr:nvSpPr>
          <xdr:spPr>
            <a:xfrm flipH="1">
              <a:off x="20535900" y="10972801"/>
              <a:ext cx="876300" cy="190499"/>
            </a:xfrm>
            <a:prstGeom prst="rtTriangle">
              <a:avLst/>
            </a:prstGeom>
            <a:solidFill>
              <a:srgbClr val="FF0000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83" name="Rectangle 82">
              <a:extLst>
                <a:ext uri="{FF2B5EF4-FFF2-40B4-BE49-F238E27FC236}">
                  <a16:creationId xmlns:a16="http://schemas.microsoft.com/office/drawing/2014/main" id="{33F058A9-2A2B-EF01-4A86-B5017A562922}"/>
                </a:ext>
              </a:extLst>
            </xdr:cNvPr>
            <xdr:cNvSpPr/>
          </xdr:nvSpPr>
          <xdr:spPr>
            <a:xfrm>
              <a:off x="20535900" y="10973171"/>
              <a:ext cx="876300" cy="190129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vert="horz" wrap="none" rtlCol="0" anchor="ctr" anchorCtr="1"/>
            <a:lstStyle/>
            <a:p>
              <a:pPr algn="l"/>
              <a:r>
                <a:rPr lang="en-US" sz="800">
                  <a:solidFill>
                    <a:schemeClr val="tx2"/>
                  </a:solidFill>
                </a:rPr>
                <a:t>0.50</a:t>
              </a:r>
            </a:p>
          </xdr:txBody>
        </xdr:sp>
      </xdr:grpSp>
    </xdr:grpSp>
    <xdr:clientData/>
  </xdr:twoCellAnchor>
  <xdr:twoCellAnchor>
    <xdr:from>
      <xdr:col>16</xdr:col>
      <xdr:colOff>0</xdr:colOff>
      <xdr:row>49</xdr:row>
      <xdr:rowOff>0</xdr:rowOff>
    </xdr:from>
    <xdr:to>
      <xdr:col>17</xdr:col>
      <xdr:colOff>0</xdr:colOff>
      <xdr:row>50</xdr:row>
      <xdr:rowOff>0</xdr:rowOff>
    </xdr:to>
    <xdr:grpSp>
      <xdr:nvGrpSpPr>
        <xdr:cNvPr id="89" name="Group 88">
          <a:extLst>
            <a:ext uri="{FF2B5EF4-FFF2-40B4-BE49-F238E27FC236}">
              <a16:creationId xmlns:a16="http://schemas.microsoft.com/office/drawing/2014/main" id="{B94BF677-FD46-404B-8173-917681E39728}"/>
            </a:ext>
          </a:extLst>
        </xdr:cNvPr>
        <xdr:cNvGrpSpPr/>
      </xdr:nvGrpSpPr>
      <xdr:grpSpPr>
        <a:xfrm>
          <a:off x="6210300" y="10210800"/>
          <a:ext cx="190500" cy="190500"/>
          <a:chOff x="20535900" y="10972800"/>
          <a:chExt cx="876300" cy="190500"/>
        </a:xfrm>
      </xdr:grpSpPr>
      <xdr:sp macro="" textlink="">
        <xdr:nvSpPr>
          <xdr:cNvPr id="90" name="Right Triangle 89">
            <a:extLst>
              <a:ext uri="{FF2B5EF4-FFF2-40B4-BE49-F238E27FC236}">
                <a16:creationId xmlns:a16="http://schemas.microsoft.com/office/drawing/2014/main" id="{F0E859B7-4722-8A0F-5263-B4EF5327909F}"/>
              </a:ext>
            </a:extLst>
          </xdr:cNvPr>
          <xdr:cNvSpPr/>
        </xdr:nvSpPr>
        <xdr:spPr>
          <a:xfrm rot="10800000" flipH="1">
            <a:off x="20535900" y="10972800"/>
            <a:ext cx="876300" cy="190499"/>
          </a:xfrm>
          <a:prstGeom prst="rtTriangle">
            <a:avLst/>
          </a:prstGeom>
          <a:solidFill>
            <a:srgbClr val="00B05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solidFill>
                <a:srgbClr val="00B050"/>
              </a:solidFill>
            </a:endParaRPr>
          </a:p>
        </xdr:txBody>
      </xdr:sp>
      <xdr:grpSp>
        <xdr:nvGrpSpPr>
          <xdr:cNvPr id="91" name="Group 90">
            <a:extLst>
              <a:ext uri="{FF2B5EF4-FFF2-40B4-BE49-F238E27FC236}">
                <a16:creationId xmlns:a16="http://schemas.microsoft.com/office/drawing/2014/main" id="{7298CC10-EFF4-6C63-A318-FE2427EA2F92}"/>
              </a:ext>
            </a:extLst>
          </xdr:cNvPr>
          <xdr:cNvGrpSpPr/>
        </xdr:nvGrpSpPr>
        <xdr:grpSpPr>
          <a:xfrm>
            <a:off x="20535900" y="10972801"/>
            <a:ext cx="876300" cy="190499"/>
            <a:chOff x="20535900" y="10972801"/>
            <a:chExt cx="876300" cy="190499"/>
          </a:xfrm>
        </xdr:grpSpPr>
        <xdr:sp macro="" textlink="">
          <xdr:nvSpPr>
            <xdr:cNvPr id="92" name="Right Triangle 91">
              <a:extLst>
                <a:ext uri="{FF2B5EF4-FFF2-40B4-BE49-F238E27FC236}">
                  <a16:creationId xmlns:a16="http://schemas.microsoft.com/office/drawing/2014/main" id="{CC723B68-3E19-FBF8-AD98-D2B207E950E3}"/>
                </a:ext>
              </a:extLst>
            </xdr:cNvPr>
            <xdr:cNvSpPr/>
          </xdr:nvSpPr>
          <xdr:spPr>
            <a:xfrm flipH="1">
              <a:off x="20535900" y="10972801"/>
              <a:ext cx="876300" cy="190499"/>
            </a:xfrm>
            <a:prstGeom prst="rtTriangle">
              <a:avLst/>
            </a:prstGeom>
            <a:solidFill>
              <a:srgbClr val="FF0000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93" name="Rectangle 92">
              <a:extLst>
                <a:ext uri="{FF2B5EF4-FFF2-40B4-BE49-F238E27FC236}">
                  <a16:creationId xmlns:a16="http://schemas.microsoft.com/office/drawing/2014/main" id="{3E65183F-72C7-0EC1-76C7-D1C74664F6A8}"/>
                </a:ext>
              </a:extLst>
            </xdr:cNvPr>
            <xdr:cNvSpPr/>
          </xdr:nvSpPr>
          <xdr:spPr>
            <a:xfrm>
              <a:off x="20535900" y="10973171"/>
              <a:ext cx="876300" cy="190129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vert="horz" wrap="none" rtlCol="0" anchor="ctr" anchorCtr="1"/>
            <a:lstStyle/>
            <a:p>
              <a:pPr algn="l"/>
              <a:r>
                <a:rPr lang="en-US" sz="800">
                  <a:solidFill>
                    <a:schemeClr val="tx2"/>
                  </a:solidFill>
                </a:rPr>
                <a:t>1.00</a:t>
              </a:r>
            </a:p>
          </xdr:txBody>
        </xdr:sp>
      </xdr:grpSp>
    </xdr:grpSp>
    <xdr:clientData/>
  </xdr:twoCellAnchor>
  <xdr:twoCellAnchor>
    <xdr:from>
      <xdr:col>35</xdr:col>
      <xdr:colOff>0</xdr:colOff>
      <xdr:row>69</xdr:row>
      <xdr:rowOff>189304</xdr:rowOff>
    </xdr:from>
    <xdr:to>
      <xdr:col>36</xdr:col>
      <xdr:colOff>11909</xdr:colOff>
      <xdr:row>71</xdr:row>
      <xdr:rowOff>0</xdr:rowOff>
    </xdr:to>
    <xdr:grpSp>
      <xdr:nvGrpSpPr>
        <xdr:cNvPr id="94" name="Group 93">
          <a:extLst>
            <a:ext uri="{FF2B5EF4-FFF2-40B4-BE49-F238E27FC236}">
              <a16:creationId xmlns:a16="http://schemas.microsoft.com/office/drawing/2014/main" id="{A541BA3C-DAAB-4543-BB1B-1F6D53B5D6DF}"/>
            </a:ext>
          </a:extLst>
        </xdr:cNvPr>
        <xdr:cNvGrpSpPr/>
      </xdr:nvGrpSpPr>
      <xdr:grpSpPr>
        <a:xfrm>
          <a:off x="9829800" y="14210104"/>
          <a:ext cx="202409" cy="191696"/>
          <a:chOff x="20541583" y="10401300"/>
          <a:chExt cx="914429" cy="191697"/>
        </a:xfrm>
      </xdr:grpSpPr>
      <xdr:grpSp>
        <xdr:nvGrpSpPr>
          <xdr:cNvPr id="95" name="Group 94">
            <a:extLst>
              <a:ext uri="{FF2B5EF4-FFF2-40B4-BE49-F238E27FC236}">
                <a16:creationId xmlns:a16="http://schemas.microsoft.com/office/drawing/2014/main" id="{1EF41538-6826-F84C-799B-6AE378896000}"/>
              </a:ext>
            </a:extLst>
          </xdr:cNvPr>
          <xdr:cNvGrpSpPr/>
        </xdr:nvGrpSpPr>
        <xdr:grpSpPr>
          <a:xfrm>
            <a:off x="20541583" y="10401300"/>
            <a:ext cx="870617" cy="191697"/>
            <a:chOff x="20541583" y="10591800"/>
            <a:chExt cx="870617" cy="191697"/>
          </a:xfrm>
        </xdr:grpSpPr>
        <xdr:sp macro="" textlink="">
          <xdr:nvSpPr>
            <xdr:cNvPr id="97" name="Right Triangle 96">
              <a:extLst>
                <a:ext uri="{FF2B5EF4-FFF2-40B4-BE49-F238E27FC236}">
                  <a16:creationId xmlns:a16="http://schemas.microsoft.com/office/drawing/2014/main" id="{240C6F82-ECCA-8390-85F9-9600F5870F76}"/>
                </a:ext>
              </a:extLst>
            </xdr:cNvPr>
            <xdr:cNvSpPr/>
          </xdr:nvSpPr>
          <xdr:spPr>
            <a:xfrm rot="10800000" flipH="1">
              <a:off x="20541585" y="10591800"/>
              <a:ext cx="870615" cy="190499"/>
            </a:xfrm>
            <a:prstGeom prst="rtTriangle">
              <a:avLst/>
            </a:prstGeom>
            <a:solidFill>
              <a:srgbClr val="0070C0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98" name="Right Triangle 97">
              <a:extLst>
                <a:ext uri="{FF2B5EF4-FFF2-40B4-BE49-F238E27FC236}">
                  <a16:creationId xmlns:a16="http://schemas.microsoft.com/office/drawing/2014/main" id="{90F84AA2-3CED-C0C0-0C4B-EFF33708BB9F}"/>
                </a:ext>
              </a:extLst>
            </xdr:cNvPr>
            <xdr:cNvSpPr/>
          </xdr:nvSpPr>
          <xdr:spPr>
            <a:xfrm flipH="1">
              <a:off x="20541583" y="10591800"/>
              <a:ext cx="870616" cy="191697"/>
            </a:xfrm>
            <a:prstGeom prst="rtTriangle">
              <a:avLst/>
            </a:prstGeom>
            <a:solidFill>
              <a:srgbClr val="FF0000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sp macro="" textlink="">
        <xdr:nvSpPr>
          <xdr:cNvPr id="96" name="Rectangle 95">
            <a:extLst>
              <a:ext uri="{FF2B5EF4-FFF2-40B4-BE49-F238E27FC236}">
                <a16:creationId xmlns:a16="http://schemas.microsoft.com/office/drawing/2014/main" id="{4C02003F-A1D5-FA4A-4876-2FCF2449CFC2}"/>
              </a:ext>
            </a:extLst>
          </xdr:cNvPr>
          <xdr:cNvSpPr/>
        </xdr:nvSpPr>
        <xdr:spPr>
          <a:xfrm>
            <a:off x="20579712" y="10402868"/>
            <a:ext cx="876300" cy="19012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vert="horz" wrap="none" rtlCol="0" anchor="ctr" anchorCtr="1"/>
          <a:lstStyle/>
          <a:p>
            <a:pPr algn="l"/>
            <a:r>
              <a:rPr lang="en-US" sz="800">
                <a:solidFill>
                  <a:schemeClr val="tx2"/>
                </a:solidFill>
              </a:rPr>
              <a:t>0.75</a:t>
            </a:r>
          </a:p>
        </xdr:txBody>
      </xdr:sp>
    </xdr:grpSp>
    <xdr:clientData/>
  </xdr:twoCellAnchor>
  <xdr:twoCellAnchor>
    <xdr:from>
      <xdr:col>47</xdr:col>
      <xdr:colOff>0</xdr:colOff>
      <xdr:row>76</xdr:row>
      <xdr:rowOff>192288</xdr:rowOff>
    </xdr:from>
    <xdr:to>
      <xdr:col>47</xdr:col>
      <xdr:colOff>254894</xdr:colOff>
      <xdr:row>78</xdr:row>
      <xdr:rowOff>0</xdr:rowOff>
    </xdr:to>
    <xdr:grpSp>
      <xdr:nvGrpSpPr>
        <xdr:cNvPr id="104" name="Group 103">
          <a:extLst>
            <a:ext uri="{FF2B5EF4-FFF2-40B4-BE49-F238E27FC236}">
              <a16:creationId xmlns:a16="http://schemas.microsoft.com/office/drawing/2014/main" id="{2F255135-395D-FB4B-BE61-A9A179C96E7F}"/>
            </a:ext>
          </a:extLst>
        </xdr:cNvPr>
        <xdr:cNvGrpSpPr/>
      </xdr:nvGrpSpPr>
      <xdr:grpSpPr>
        <a:xfrm>
          <a:off x="12115800" y="15546588"/>
          <a:ext cx="188219" cy="188712"/>
          <a:chOff x="20535900" y="10972800"/>
          <a:chExt cx="876300" cy="190500"/>
        </a:xfrm>
      </xdr:grpSpPr>
      <xdr:sp macro="" textlink="">
        <xdr:nvSpPr>
          <xdr:cNvPr id="105" name="Right Triangle 104">
            <a:extLst>
              <a:ext uri="{FF2B5EF4-FFF2-40B4-BE49-F238E27FC236}">
                <a16:creationId xmlns:a16="http://schemas.microsoft.com/office/drawing/2014/main" id="{465BA3D9-F14D-9C2B-4F26-293883B8EBA3}"/>
              </a:ext>
            </a:extLst>
          </xdr:cNvPr>
          <xdr:cNvSpPr/>
        </xdr:nvSpPr>
        <xdr:spPr>
          <a:xfrm rot="10800000" flipH="1">
            <a:off x="20535900" y="10972800"/>
            <a:ext cx="876300" cy="190499"/>
          </a:xfrm>
          <a:prstGeom prst="rtTriangle">
            <a:avLst/>
          </a:prstGeom>
          <a:solidFill>
            <a:srgbClr val="00B05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solidFill>
                <a:srgbClr val="00B050"/>
              </a:solidFill>
            </a:endParaRPr>
          </a:p>
        </xdr:txBody>
      </xdr:sp>
      <xdr:grpSp>
        <xdr:nvGrpSpPr>
          <xdr:cNvPr id="106" name="Group 105">
            <a:extLst>
              <a:ext uri="{FF2B5EF4-FFF2-40B4-BE49-F238E27FC236}">
                <a16:creationId xmlns:a16="http://schemas.microsoft.com/office/drawing/2014/main" id="{0E7752B7-0F59-5926-4165-697D4C889BDD}"/>
              </a:ext>
            </a:extLst>
          </xdr:cNvPr>
          <xdr:cNvGrpSpPr/>
        </xdr:nvGrpSpPr>
        <xdr:grpSpPr>
          <a:xfrm>
            <a:off x="20535900" y="10972801"/>
            <a:ext cx="876300" cy="190499"/>
            <a:chOff x="20535900" y="10972801"/>
            <a:chExt cx="876300" cy="190499"/>
          </a:xfrm>
        </xdr:grpSpPr>
        <xdr:sp macro="" textlink="">
          <xdr:nvSpPr>
            <xdr:cNvPr id="107" name="Right Triangle 106">
              <a:extLst>
                <a:ext uri="{FF2B5EF4-FFF2-40B4-BE49-F238E27FC236}">
                  <a16:creationId xmlns:a16="http://schemas.microsoft.com/office/drawing/2014/main" id="{728928B7-9195-6608-920D-02FDD8277C2F}"/>
                </a:ext>
              </a:extLst>
            </xdr:cNvPr>
            <xdr:cNvSpPr/>
          </xdr:nvSpPr>
          <xdr:spPr>
            <a:xfrm flipH="1">
              <a:off x="20535900" y="10972801"/>
              <a:ext cx="876300" cy="190499"/>
            </a:xfrm>
            <a:prstGeom prst="rtTriangle">
              <a:avLst/>
            </a:prstGeom>
            <a:solidFill>
              <a:srgbClr val="FF0000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08" name="Rectangle 107">
              <a:extLst>
                <a:ext uri="{FF2B5EF4-FFF2-40B4-BE49-F238E27FC236}">
                  <a16:creationId xmlns:a16="http://schemas.microsoft.com/office/drawing/2014/main" id="{13A3996A-B5E5-4EE7-5004-AEF475406F47}"/>
                </a:ext>
              </a:extLst>
            </xdr:cNvPr>
            <xdr:cNvSpPr/>
          </xdr:nvSpPr>
          <xdr:spPr>
            <a:xfrm>
              <a:off x="20535900" y="10973171"/>
              <a:ext cx="876300" cy="190129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vert="horz" wrap="none" rtlCol="0" anchor="ctr" anchorCtr="1"/>
            <a:lstStyle/>
            <a:p>
              <a:pPr algn="l"/>
              <a:r>
                <a:rPr lang="en-US" sz="800">
                  <a:solidFill>
                    <a:schemeClr val="tx2"/>
                  </a:solidFill>
                </a:rPr>
                <a:t>1.50</a:t>
              </a:r>
            </a:p>
          </xdr:txBody>
        </xdr:sp>
      </xdr:grpSp>
    </xdr:grpSp>
    <xdr:clientData/>
  </xdr:twoCellAnchor>
  <xdr:twoCellAnchor>
    <xdr:from>
      <xdr:col>40</xdr:col>
      <xdr:colOff>0</xdr:colOff>
      <xdr:row>77</xdr:row>
      <xdr:rowOff>189304</xdr:rowOff>
    </xdr:from>
    <xdr:to>
      <xdr:col>41</xdr:col>
      <xdr:colOff>11909</xdr:colOff>
      <xdr:row>79</xdr:row>
      <xdr:rowOff>0</xdr:rowOff>
    </xdr:to>
    <xdr:grpSp>
      <xdr:nvGrpSpPr>
        <xdr:cNvPr id="114" name="Group 113">
          <a:extLst>
            <a:ext uri="{FF2B5EF4-FFF2-40B4-BE49-F238E27FC236}">
              <a16:creationId xmlns:a16="http://schemas.microsoft.com/office/drawing/2014/main" id="{1F865C61-DB65-F74D-81D5-835A89D0C445}"/>
            </a:ext>
          </a:extLst>
        </xdr:cNvPr>
        <xdr:cNvGrpSpPr/>
      </xdr:nvGrpSpPr>
      <xdr:grpSpPr>
        <a:xfrm>
          <a:off x="10782300" y="15734104"/>
          <a:ext cx="202409" cy="191696"/>
          <a:chOff x="20541583" y="10401300"/>
          <a:chExt cx="914429" cy="191697"/>
        </a:xfrm>
      </xdr:grpSpPr>
      <xdr:grpSp>
        <xdr:nvGrpSpPr>
          <xdr:cNvPr id="115" name="Group 114">
            <a:extLst>
              <a:ext uri="{FF2B5EF4-FFF2-40B4-BE49-F238E27FC236}">
                <a16:creationId xmlns:a16="http://schemas.microsoft.com/office/drawing/2014/main" id="{18549EF9-C500-13EF-A373-6C1BD46D9D7B}"/>
              </a:ext>
            </a:extLst>
          </xdr:cNvPr>
          <xdr:cNvGrpSpPr/>
        </xdr:nvGrpSpPr>
        <xdr:grpSpPr>
          <a:xfrm>
            <a:off x="20541583" y="10401300"/>
            <a:ext cx="870617" cy="191697"/>
            <a:chOff x="20541583" y="10591800"/>
            <a:chExt cx="870617" cy="191697"/>
          </a:xfrm>
        </xdr:grpSpPr>
        <xdr:sp macro="" textlink="">
          <xdr:nvSpPr>
            <xdr:cNvPr id="117" name="Right Triangle 116">
              <a:extLst>
                <a:ext uri="{FF2B5EF4-FFF2-40B4-BE49-F238E27FC236}">
                  <a16:creationId xmlns:a16="http://schemas.microsoft.com/office/drawing/2014/main" id="{450969DE-38FE-52C4-AC09-37C2F263D723}"/>
                </a:ext>
              </a:extLst>
            </xdr:cNvPr>
            <xdr:cNvSpPr/>
          </xdr:nvSpPr>
          <xdr:spPr>
            <a:xfrm rot="10800000" flipH="1">
              <a:off x="20541585" y="10591800"/>
              <a:ext cx="870615" cy="190499"/>
            </a:xfrm>
            <a:prstGeom prst="rtTriangle">
              <a:avLst/>
            </a:prstGeom>
            <a:solidFill>
              <a:srgbClr val="0070C0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18" name="Right Triangle 117">
              <a:extLst>
                <a:ext uri="{FF2B5EF4-FFF2-40B4-BE49-F238E27FC236}">
                  <a16:creationId xmlns:a16="http://schemas.microsoft.com/office/drawing/2014/main" id="{A5C409AE-9BE0-837D-F47C-FF42B8F972D3}"/>
                </a:ext>
              </a:extLst>
            </xdr:cNvPr>
            <xdr:cNvSpPr/>
          </xdr:nvSpPr>
          <xdr:spPr>
            <a:xfrm flipH="1">
              <a:off x="20541583" y="10591800"/>
              <a:ext cx="870616" cy="191697"/>
            </a:xfrm>
            <a:prstGeom prst="rtTriangle">
              <a:avLst/>
            </a:prstGeom>
            <a:solidFill>
              <a:srgbClr val="FF0000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sp macro="" textlink="">
        <xdr:nvSpPr>
          <xdr:cNvPr id="116" name="Rectangle 115">
            <a:extLst>
              <a:ext uri="{FF2B5EF4-FFF2-40B4-BE49-F238E27FC236}">
                <a16:creationId xmlns:a16="http://schemas.microsoft.com/office/drawing/2014/main" id="{55BD9688-74F0-468C-1352-7C01033FAD37}"/>
              </a:ext>
            </a:extLst>
          </xdr:cNvPr>
          <xdr:cNvSpPr/>
        </xdr:nvSpPr>
        <xdr:spPr>
          <a:xfrm>
            <a:off x="20579712" y="10402868"/>
            <a:ext cx="876300" cy="19012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vert="horz" wrap="none" rtlCol="0" anchor="ctr" anchorCtr="1"/>
          <a:lstStyle/>
          <a:p>
            <a:pPr algn="l"/>
            <a:r>
              <a:rPr lang="en-US" sz="800">
                <a:solidFill>
                  <a:schemeClr val="tx2"/>
                </a:solidFill>
              </a:rPr>
              <a:t>1.25</a:t>
            </a:r>
          </a:p>
        </xdr:txBody>
      </xdr:sp>
    </xdr:grpSp>
    <xdr:clientData/>
  </xdr:twoCellAnchor>
  <xdr:twoCellAnchor>
    <xdr:from>
      <xdr:col>52</xdr:col>
      <xdr:colOff>0</xdr:colOff>
      <xdr:row>88</xdr:row>
      <xdr:rowOff>192288</xdr:rowOff>
    </xdr:from>
    <xdr:to>
      <xdr:col>52</xdr:col>
      <xdr:colOff>254894</xdr:colOff>
      <xdr:row>90</xdr:row>
      <xdr:rowOff>0</xdr:rowOff>
    </xdr:to>
    <xdr:grpSp>
      <xdr:nvGrpSpPr>
        <xdr:cNvPr id="119" name="Group 118">
          <a:extLst>
            <a:ext uri="{FF2B5EF4-FFF2-40B4-BE49-F238E27FC236}">
              <a16:creationId xmlns:a16="http://schemas.microsoft.com/office/drawing/2014/main" id="{833BABD7-F628-1643-957D-03BC20B57CAC}"/>
            </a:ext>
          </a:extLst>
        </xdr:cNvPr>
        <xdr:cNvGrpSpPr/>
      </xdr:nvGrpSpPr>
      <xdr:grpSpPr>
        <a:xfrm>
          <a:off x="13068300" y="17832588"/>
          <a:ext cx="188219" cy="188712"/>
          <a:chOff x="20535900" y="10972800"/>
          <a:chExt cx="876300" cy="190500"/>
        </a:xfrm>
      </xdr:grpSpPr>
      <xdr:sp macro="" textlink="">
        <xdr:nvSpPr>
          <xdr:cNvPr id="120" name="Right Triangle 119">
            <a:extLst>
              <a:ext uri="{FF2B5EF4-FFF2-40B4-BE49-F238E27FC236}">
                <a16:creationId xmlns:a16="http://schemas.microsoft.com/office/drawing/2014/main" id="{A6801FC7-B6A3-67EB-D95A-8EDE56312F8A}"/>
              </a:ext>
            </a:extLst>
          </xdr:cNvPr>
          <xdr:cNvSpPr/>
        </xdr:nvSpPr>
        <xdr:spPr>
          <a:xfrm rot="10800000" flipH="1">
            <a:off x="20535900" y="10972800"/>
            <a:ext cx="876300" cy="190499"/>
          </a:xfrm>
          <a:prstGeom prst="rtTriangle">
            <a:avLst/>
          </a:prstGeom>
          <a:solidFill>
            <a:srgbClr val="00B05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solidFill>
                <a:srgbClr val="00B050"/>
              </a:solidFill>
            </a:endParaRPr>
          </a:p>
        </xdr:txBody>
      </xdr:sp>
      <xdr:grpSp>
        <xdr:nvGrpSpPr>
          <xdr:cNvPr id="121" name="Group 120">
            <a:extLst>
              <a:ext uri="{FF2B5EF4-FFF2-40B4-BE49-F238E27FC236}">
                <a16:creationId xmlns:a16="http://schemas.microsoft.com/office/drawing/2014/main" id="{1F58BC31-12E1-90AF-D251-575B011129AF}"/>
              </a:ext>
            </a:extLst>
          </xdr:cNvPr>
          <xdr:cNvGrpSpPr/>
        </xdr:nvGrpSpPr>
        <xdr:grpSpPr>
          <a:xfrm>
            <a:off x="20535900" y="10972801"/>
            <a:ext cx="876300" cy="190499"/>
            <a:chOff x="20535900" y="10972801"/>
            <a:chExt cx="876300" cy="190499"/>
          </a:xfrm>
        </xdr:grpSpPr>
        <xdr:sp macro="" textlink="">
          <xdr:nvSpPr>
            <xdr:cNvPr id="122" name="Right Triangle 121">
              <a:extLst>
                <a:ext uri="{FF2B5EF4-FFF2-40B4-BE49-F238E27FC236}">
                  <a16:creationId xmlns:a16="http://schemas.microsoft.com/office/drawing/2014/main" id="{9EB3F948-E92A-5CA4-D628-3129213E259E}"/>
                </a:ext>
              </a:extLst>
            </xdr:cNvPr>
            <xdr:cNvSpPr/>
          </xdr:nvSpPr>
          <xdr:spPr>
            <a:xfrm flipH="1">
              <a:off x="20535900" y="10972801"/>
              <a:ext cx="876300" cy="190499"/>
            </a:xfrm>
            <a:prstGeom prst="rtTriangle">
              <a:avLst/>
            </a:prstGeom>
            <a:solidFill>
              <a:srgbClr val="FF0000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23" name="Rectangle 122">
              <a:extLst>
                <a:ext uri="{FF2B5EF4-FFF2-40B4-BE49-F238E27FC236}">
                  <a16:creationId xmlns:a16="http://schemas.microsoft.com/office/drawing/2014/main" id="{F068D47E-169A-69BB-2227-6697CF25EBD0}"/>
                </a:ext>
              </a:extLst>
            </xdr:cNvPr>
            <xdr:cNvSpPr/>
          </xdr:nvSpPr>
          <xdr:spPr>
            <a:xfrm>
              <a:off x="20535900" y="10973171"/>
              <a:ext cx="876300" cy="190129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vert="horz" wrap="none" rtlCol="0" anchor="ctr" anchorCtr="1"/>
            <a:lstStyle/>
            <a:p>
              <a:pPr algn="l"/>
              <a:r>
                <a:rPr lang="en-US" sz="800">
                  <a:solidFill>
                    <a:schemeClr val="tx2"/>
                  </a:solidFill>
                </a:rPr>
                <a:t>0.50</a:t>
              </a:r>
            </a:p>
          </xdr:txBody>
        </xdr:sp>
      </xdr:grpSp>
    </xdr:grpSp>
    <xdr:clientData/>
  </xdr:twoCellAnchor>
  <xdr:twoCellAnchor>
    <xdr:from>
      <xdr:col>52</xdr:col>
      <xdr:colOff>0</xdr:colOff>
      <xdr:row>89</xdr:row>
      <xdr:rowOff>189303</xdr:rowOff>
    </xdr:from>
    <xdr:to>
      <xdr:col>53</xdr:col>
      <xdr:colOff>11909</xdr:colOff>
      <xdr:row>90</xdr:row>
      <xdr:rowOff>192640</xdr:rowOff>
    </xdr:to>
    <xdr:grpSp>
      <xdr:nvGrpSpPr>
        <xdr:cNvPr id="124" name="Group 123">
          <a:extLst>
            <a:ext uri="{FF2B5EF4-FFF2-40B4-BE49-F238E27FC236}">
              <a16:creationId xmlns:a16="http://schemas.microsoft.com/office/drawing/2014/main" id="{EC5904FD-9976-C945-860E-8A3F44B238CD}"/>
            </a:ext>
          </a:extLst>
        </xdr:cNvPr>
        <xdr:cNvGrpSpPr/>
      </xdr:nvGrpSpPr>
      <xdr:grpSpPr>
        <a:xfrm>
          <a:off x="13068300" y="18020103"/>
          <a:ext cx="202409" cy="193837"/>
          <a:chOff x="20541583" y="10401300"/>
          <a:chExt cx="914429" cy="191697"/>
        </a:xfrm>
      </xdr:grpSpPr>
      <xdr:grpSp>
        <xdr:nvGrpSpPr>
          <xdr:cNvPr id="125" name="Group 124">
            <a:extLst>
              <a:ext uri="{FF2B5EF4-FFF2-40B4-BE49-F238E27FC236}">
                <a16:creationId xmlns:a16="http://schemas.microsoft.com/office/drawing/2014/main" id="{E892D98B-3297-1C5A-E186-8F45AA9E6858}"/>
              </a:ext>
            </a:extLst>
          </xdr:cNvPr>
          <xdr:cNvGrpSpPr/>
        </xdr:nvGrpSpPr>
        <xdr:grpSpPr>
          <a:xfrm>
            <a:off x="20541583" y="10401300"/>
            <a:ext cx="870617" cy="191697"/>
            <a:chOff x="20541583" y="10591800"/>
            <a:chExt cx="870617" cy="191697"/>
          </a:xfrm>
        </xdr:grpSpPr>
        <xdr:sp macro="" textlink="">
          <xdr:nvSpPr>
            <xdr:cNvPr id="127" name="Right Triangle 126">
              <a:extLst>
                <a:ext uri="{FF2B5EF4-FFF2-40B4-BE49-F238E27FC236}">
                  <a16:creationId xmlns:a16="http://schemas.microsoft.com/office/drawing/2014/main" id="{83AF1B03-54E2-7732-77D3-ECFAC119648D}"/>
                </a:ext>
              </a:extLst>
            </xdr:cNvPr>
            <xdr:cNvSpPr/>
          </xdr:nvSpPr>
          <xdr:spPr>
            <a:xfrm rot="10800000" flipH="1">
              <a:off x="20541585" y="10591800"/>
              <a:ext cx="870615" cy="190499"/>
            </a:xfrm>
            <a:prstGeom prst="rtTriangle">
              <a:avLst/>
            </a:prstGeom>
            <a:solidFill>
              <a:srgbClr val="0070C0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28" name="Right Triangle 127">
              <a:extLst>
                <a:ext uri="{FF2B5EF4-FFF2-40B4-BE49-F238E27FC236}">
                  <a16:creationId xmlns:a16="http://schemas.microsoft.com/office/drawing/2014/main" id="{F06B0950-4BCE-8EB9-43B8-96F4DC804155}"/>
                </a:ext>
              </a:extLst>
            </xdr:cNvPr>
            <xdr:cNvSpPr/>
          </xdr:nvSpPr>
          <xdr:spPr>
            <a:xfrm flipH="1">
              <a:off x="20541583" y="10591800"/>
              <a:ext cx="870616" cy="191697"/>
            </a:xfrm>
            <a:prstGeom prst="rtTriangle">
              <a:avLst/>
            </a:prstGeom>
            <a:solidFill>
              <a:srgbClr val="FF0000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sp macro="" textlink="">
        <xdr:nvSpPr>
          <xdr:cNvPr id="126" name="Rectangle 125">
            <a:extLst>
              <a:ext uri="{FF2B5EF4-FFF2-40B4-BE49-F238E27FC236}">
                <a16:creationId xmlns:a16="http://schemas.microsoft.com/office/drawing/2014/main" id="{038258A3-C1C3-6D75-954A-23461CBFABF9}"/>
              </a:ext>
            </a:extLst>
          </xdr:cNvPr>
          <xdr:cNvSpPr/>
        </xdr:nvSpPr>
        <xdr:spPr>
          <a:xfrm>
            <a:off x="20579712" y="10402868"/>
            <a:ext cx="876300" cy="19012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vert="horz" wrap="none" rtlCol="0" anchor="ctr" anchorCtr="1"/>
          <a:lstStyle/>
          <a:p>
            <a:pPr algn="l"/>
            <a:r>
              <a:rPr lang="en-US" sz="800">
                <a:solidFill>
                  <a:schemeClr val="tx2"/>
                </a:solidFill>
              </a:rPr>
              <a:t>1.00</a:t>
            </a:r>
          </a:p>
        </xdr:txBody>
      </xdr:sp>
    </xdr:grpSp>
    <xdr:clientData/>
  </xdr:twoCellAnchor>
  <xdr:twoCellAnchor>
    <xdr:from>
      <xdr:col>7</xdr:col>
      <xdr:colOff>0</xdr:colOff>
      <xdr:row>15</xdr:row>
      <xdr:rowOff>182897</xdr:rowOff>
    </xdr:from>
    <xdr:to>
      <xdr:col>8</xdr:col>
      <xdr:colOff>0</xdr:colOff>
      <xdr:row>17</xdr:row>
      <xdr:rowOff>0</xdr:rowOff>
    </xdr:to>
    <xdr:grpSp>
      <xdr:nvGrpSpPr>
        <xdr:cNvPr id="132" name="Group 131">
          <a:extLst>
            <a:ext uri="{FF2B5EF4-FFF2-40B4-BE49-F238E27FC236}">
              <a16:creationId xmlns:a16="http://schemas.microsoft.com/office/drawing/2014/main" id="{15FD5BB3-1271-B44A-9F1B-9BFB3D39B3A2}"/>
            </a:ext>
          </a:extLst>
        </xdr:cNvPr>
        <xdr:cNvGrpSpPr/>
      </xdr:nvGrpSpPr>
      <xdr:grpSpPr>
        <a:xfrm>
          <a:off x="4495800" y="3916697"/>
          <a:ext cx="190500" cy="198103"/>
          <a:chOff x="20535900" y="10401300"/>
          <a:chExt cx="876300" cy="191697"/>
        </a:xfrm>
      </xdr:grpSpPr>
      <xdr:grpSp>
        <xdr:nvGrpSpPr>
          <xdr:cNvPr id="133" name="Group 132">
            <a:extLst>
              <a:ext uri="{FF2B5EF4-FFF2-40B4-BE49-F238E27FC236}">
                <a16:creationId xmlns:a16="http://schemas.microsoft.com/office/drawing/2014/main" id="{F95971FA-15CB-71E3-F315-A528C280D182}"/>
              </a:ext>
            </a:extLst>
          </xdr:cNvPr>
          <xdr:cNvGrpSpPr/>
        </xdr:nvGrpSpPr>
        <xdr:grpSpPr>
          <a:xfrm>
            <a:off x="20541583" y="10401300"/>
            <a:ext cx="870617" cy="191697"/>
            <a:chOff x="20541583" y="10591800"/>
            <a:chExt cx="870617" cy="191697"/>
          </a:xfrm>
        </xdr:grpSpPr>
        <xdr:sp macro="" textlink="">
          <xdr:nvSpPr>
            <xdr:cNvPr id="135" name="Right Triangle 134">
              <a:extLst>
                <a:ext uri="{FF2B5EF4-FFF2-40B4-BE49-F238E27FC236}">
                  <a16:creationId xmlns:a16="http://schemas.microsoft.com/office/drawing/2014/main" id="{129A615A-4C80-73FD-1702-E19EB4E73058}"/>
                </a:ext>
              </a:extLst>
            </xdr:cNvPr>
            <xdr:cNvSpPr/>
          </xdr:nvSpPr>
          <xdr:spPr>
            <a:xfrm rot="10800000" flipH="1">
              <a:off x="20541585" y="10591800"/>
              <a:ext cx="870615" cy="190499"/>
            </a:xfrm>
            <a:prstGeom prst="rtTriangle">
              <a:avLst/>
            </a:prstGeom>
            <a:solidFill>
              <a:srgbClr val="0070C0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36" name="Right Triangle 135">
              <a:extLst>
                <a:ext uri="{FF2B5EF4-FFF2-40B4-BE49-F238E27FC236}">
                  <a16:creationId xmlns:a16="http://schemas.microsoft.com/office/drawing/2014/main" id="{0F4846C8-650C-CA79-B322-4CBC6C9AA7E7}"/>
                </a:ext>
              </a:extLst>
            </xdr:cNvPr>
            <xdr:cNvSpPr/>
          </xdr:nvSpPr>
          <xdr:spPr>
            <a:xfrm flipH="1">
              <a:off x="20541583" y="10591800"/>
              <a:ext cx="870616" cy="191697"/>
            </a:xfrm>
            <a:prstGeom prst="rtTriangle">
              <a:avLst/>
            </a:prstGeom>
            <a:solidFill>
              <a:srgbClr val="FF0000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sp macro="" textlink="">
        <xdr:nvSpPr>
          <xdr:cNvPr id="134" name="Rectangle 133">
            <a:extLst>
              <a:ext uri="{FF2B5EF4-FFF2-40B4-BE49-F238E27FC236}">
                <a16:creationId xmlns:a16="http://schemas.microsoft.com/office/drawing/2014/main" id="{AABCACBF-37F2-780A-D6BA-E8C646E45575}"/>
              </a:ext>
            </a:extLst>
          </xdr:cNvPr>
          <xdr:cNvSpPr/>
        </xdr:nvSpPr>
        <xdr:spPr>
          <a:xfrm>
            <a:off x="20535900" y="10401671"/>
            <a:ext cx="876300" cy="19012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vert="horz" wrap="none" rtlCol="0" anchor="ctr" anchorCtr="1"/>
          <a:lstStyle/>
          <a:p>
            <a:pPr algn="l"/>
            <a:r>
              <a:rPr lang="en-US" sz="800">
                <a:solidFill>
                  <a:schemeClr val="tx2"/>
                </a:solidFill>
              </a:rPr>
              <a:t>1.00</a:t>
            </a:r>
          </a:p>
        </xdr:txBody>
      </xdr:sp>
    </xdr:grpSp>
    <xdr:clientData/>
  </xdr:twoCellAnchor>
  <xdr:twoCellAnchor>
    <xdr:from>
      <xdr:col>18</xdr:col>
      <xdr:colOff>0</xdr:colOff>
      <xdr:row>44</xdr:row>
      <xdr:rowOff>342</xdr:rowOff>
    </xdr:from>
    <xdr:to>
      <xdr:col>19</xdr:col>
      <xdr:colOff>11910</xdr:colOff>
      <xdr:row>45</xdr:row>
      <xdr:rowOff>0</xdr:rowOff>
    </xdr:to>
    <xdr:grpSp>
      <xdr:nvGrpSpPr>
        <xdr:cNvPr id="144" name="Group 143">
          <a:extLst>
            <a:ext uri="{FF2B5EF4-FFF2-40B4-BE49-F238E27FC236}">
              <a16:creationId xmlns:a16="http://schemas.microsoft.com/office/drawing/2014/main" id="{CB2AAEE7-20FD-A941-87DE-3EB9736D028B}"/>
            </a:ext>
          </a:extLst>
        </xdr:cNvPr>
        <xdr:cNvGrpSpPr/>
      </xdr:nvGrpSpPr>
      <xdr:grpSpPr>
        <a:xfrm>
          <a:off x="6591300" y="9258642"/>
          <a:ext cx="202410" cy="190158"/>
          <a:chOff x="20541583" y="10401300"/>
          <a:chExt cx="914429" cy="191697"/>
        </a:xfrm>
      </xdr:grpSpPr>
      <xdr:grpSp>
        <xdr:nvGrpSpPr>
          <xdr:cNvPr id="145" name="Group 144">
            <a:extLst>
              <a:ext uri="{FF2B5EF4-FFF2-40B4-BE49-F238E27FC236}">
                <a16:creationId xmlns:a16="http://schemas.microsoft.com/office/drawing/2014/main" id="{D9154393-1B3B-A3F0-3C54-7CD9E0DD7AED}"/>
              </a:ext>
            </a:extLst>
          </xdr:cNvPr>
          <xdr:cNvGrpSpPr/>
        </xdr:nvGrpSpPr>
        <xdr:grpSpPr>
          <a:xfrm>
            <a:off x="20541583" y="10401300"/>
            <a:ext cx="870617" cy="191697"/>
            <a:chOff x="20541583" y="10591800"/>
            <a:chExt cx="870617" cy="191697"/>
          </a:xfrm>
        </xdr:grpSpPr>
        <xdr:sp macro="" textlink="">
          <xdr:nvSpPr>
            <xdr:cNvPr id="147" name="Right Triangle 146">
              <a:extLst>
                <a:ext uri="{FF2B5EF4-FFF2-40B4-BE49-F238E27FC236}">
                  <a16:creationId xmlns:a16="http://schemas.microsoft.com/office/drawing/2014/main" id="{7ACBC0DF-86CD-97BB-7105-C2E8C34F4ADA}"/>
                </a:ext>
              </a:extLst>
            </xdr:cNvPr>
            <xdr:cNvSpPr/>
          </xdr:nvSpPr>
          <xdr:spPr>
            <a:xfrm rot="10800000" flipH="1">
              <a:off x="20541585" y="10591800"/>
              <a:ext cx="870615" cy="190499"/>
            </a:xfrm>
            <a:prstGeom prst="rtTriangle">
              <a:avLst/>
            </a:prstGeom>
            <a:solidFill>
              <a:srgbClr val="0070C0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48" name="Right Triangle 147">
              <a:extLst>
                <a:ext uri="{FF2B5EF4-FFF2-40B4-BE49-F238E27FC236}">
                  <a16:creationId xmlns:a16="http://schemas.microsoft.com/office/drawing/2014/main" id="{146BD7AD-1F08-EA0B-CB18-7695D0339EDE}"/>
                </a:ext>
              </a:extLst>
            </xdr:cNvPr>
            <xdr:cNvSpPr/>
          </xdr:nvSpPr>
          <xdr:spPr>
            <a:xfrm flipH="1">
              <a:off x="20541583" y="10591800"/>
              <a:ext cx="870616" cy="191697"/>
            </a:xfrm>
            <a:prstGeom prst="rtTriangle">
              <a:avLst/>
            </a:prstGeom>
            <a:solidFill>
              <a:srgbClr val="FF0000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sp macro="" textlink="">
        <xdr:nvSpPr>
          <xdr:cNvPr id="146" name="Rectangle 145">
            <a:extLst>
              <a:ext uri="{FF2B5EF4-FFF2-40B4-BE49-F238E27FC236}">
                <a16:creationId xmlns:a16="http://schemas.microsoft.com/office/drawing/2014/main" id="{89C697E6-1044-81D6-12FB-2A04B3777248}"/>
              </a:ext>
            </a:extLst>
          </xdr:cNvPr>
          <xdr:cNvSpPr/>
        </xdr:nvSpPr>
        <xdr:spPr>
          <a:xfrm>
            <a:off x="20579712" y="10402868"/>
            <a:ext cx="876300" cy="19012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vert="horz" wrap="none" rtlCol="0" anchor="ctr" anchorCtr="1"/>
          <a:lstStyle/>
          <a:p>
            <a:pPr algn="l"/>
            <a:r>
              <a:rPr lang="en-US" sz="800">
                <a:solidFill>
                  <a:schemeClr val="tx2"/>
                </a:solidFill>
              </a:rPr>
              <a:t>0.75</a:t>
            </a:r>
          </a:p>
        </xdr:txBody>
      </xdr:sp>
    </xdr:grpSp>
    <xdr:clientData/>
  </xdr:twoCellAnchor>
  <xdr:twoCellAnchor>
    <xdr:from>
      <xdr:col>7</xdr:col>
      <xdr:colOff>0</xdr:colOff>
      <xdr:row>15</xdr:row>
      <xdr:rowOff>0</xdr:rowOff>
    </xdr:from>
    <xdr:to>
      <xdr:col>8</xdr:col>
      <xdr:colOff>6734</xdr:colOff>
      <xdr:row>15</xdr:row>
      <xdr:rowOff>187982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BEEFDAA8-1D18-2C4F-B48C-856324BFF98D}"/>
            </a:ext>
          </a:extLst>
        </xdr:cNvPr>
        <xdr:cNvGrpSpPr/>
      </xdr:nvGrpSpPr>
      <xdr:grpSpPr>
        <a:xfrm>
          <a:off x="4495800" y="3733800"/>
          <a:ext cx="197234" cy="187982"/>
          <a:chOff x="20535900" y="10972800"/>
          <a:chExt cx="876300" cy="190500"/>
        </a:xfrm>
      </xdr:grpSpPr>
      <xdr:sp macro="" textlink="">
        <xdr:nvSpPr>
          <xdr:cNvPr id="3" name="Right Triangle 2">
            <a:extLst>
              <a:ext uri="{FF2B5EF4-FFF2-40B4-BE49-F238E27FC236}">
                <a16:creationId xmlns:a16="http://schemas.microsoft.com/office/drawing/2014/main" id="{E51873DE-B036-2845-E89B-529D4AEF5F1B}"/>
              </a:ext>
            </a:extLst>
          </xdr:cNvPr>
          <xdr:cNvSpPr/>
        </xdr:nvSpPr>
        <xdr:spPr>
          <a:xfrm rot="10800000" flipH="1">
            <a:off x="20535900" y="10972800"/>
            <a:ext cx="876300" cy="190499"/>
          </a:xfrm>
          <a:prstGeom prst="rtTriangle">
            <a:avLst/>
          </a:prstGeom>
          <a:solidFill>
            <a:srgbClr val="00B05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solidFill>
                <a:srgbClr val="00B050"/>
              </a:solidFill>
            </a:endParaRPr>
          </a:p>
        </xdr:txBody>
      </xdr:sp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2ADE435A-3BD3-B523-B107-2867E63A5AF7}"/>
              </a:ext>
            </a:extLst>
          </xdr:cNvPr>
          <xdr:cNvGrpSpPr/>
        </xdr:nvGrpSpPr>
        <xdr:grpSpPr>
          <a:xfrm>
            <a:off x="20535900" y="10972801"/>
            <a:ext cx="876300" cy="190499"/>
            <a:chOff x="20535900" y="10972801"/>
            <a:chExt cx="876300" cy="190499"/>
          </a:xfrm>
        </xdr:grpSpPr>
        <xdr:sp macro="" textlink="">
          <xdr:nvSpPr>
            <xdr:cNvPr id="5" name="Right Triangle 4">
              <a:extLst>
                <a:ext uri="{FF2B5EF4-FFF2-40B4-BE49-F238E27FC236}">
                  <a16:creationId xmlns:a16="http://schemas.microsoft.com/office/drawing/2014/main" id="{D7B6CC5B-68B1-EE62-4AE6-6D3DB5C0C160}"/>
                </a:ext>
              </a:extLst>
            </xdr:cNvPr>
            <xdr:cNvSpPr/>
          </xdr:nvSpPr>
          <xdr:spPr>
            <a:xfrm flipH="1">
              <a:off x="20535900" y="10972801"/>
              <a:ext cx="876300" cy="190499"/>
            </a:xfrm>
            <a:prstGeom prst="rtTriangle">
              <a:avLst/>
            </a:prstGeom>
            <a:solidFill>
              <a:srgbClr val="FF0000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6" name="Rectangle 5">
              <a:extLst>
                <a:ext uri="{FF2B5EF4-FFF2-40B4-BE49-F238E27FC236}">
                  <a16:creationId xmlns:a16="http://schemas.microsoft.com/office/drawing/2014/main" id="{CCB15FA7-DDFF-7336-9B6D-DB9B4E945FBB}"/>
                </a:ext>
              </a:extLst>
            </xdr:cNvPr>
            <xdr:cNvSpPr/>
          </xdr:nvSpPr>
          <xdr:spPr>
            <a:xfrm>
              <a:off x="20535900" y="10973171"/>
              <a:ext cx="876300" cy="190129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vert="horz" wrap="none" rtlCol="0" anchor="ctr" anchorCtr="1"/>
            <a:lstStyle/>
            <a:p>
              <a:pPr algn="l"/>
              <a:r>
                <a:rPr lang="en-US" sz="800">
                  <a:solidFill>
                    <a:schemeClr val="tx2"/>
                  </a:solidFill>
                </a:rPr>
                <a:t>1.00</a:t>
              </a:r>
            </a:p>
          </xdr:txBody>
        </xdr:sp>
      </xdr:grpSp>
    </xdr:grpSp>
    <xdr:clientData/>
  </xdr:twoCellAnchor>
  <xdr:oneCellAnchor>
    <xdr:from>
      <xdr:col>56</xdr:col>
      <xdr:colOff>622300</xdr:colOff>
      <xdr:row>4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717AA22-E9EC-B2DC-68CB-F928CF8A55FB}"/>
            </a:ext>
          </a:extLst>
        </xdr:cNvPr>
        <xdr:cNvSpPr txBox="1"/>
      </xdr:nvSpPr>
      <xdr:spPr>
        <a:xfrm>
          <a:off x="14655800" y="1778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DAB49-EFBA-744B-9D7C-EF6E733C6530}">
  <sheetPr>
    <tabColor theme="8"/>
    <pageSetUpPr fitToPage="1"/>
  </sheetPr>
  <dimension ref="B1:BH106"/>
  <sheetViews>
    <sheetView tabSelected="1" zoomScaleNormal="100" workbookViewId="0">
      <selection activeCell="C2" sqref="C2:E3"/>
    </sheetView>
  </sheetViews>
  <sheetFormatPr defaultColWidth="11.5" defaultRowHeight="15" x14ac:dyDescent="0.25"/>
  <cols>
    <col min="1" max="1" width="4.75" style="1" customWidth="1"/>
    <col min="2" max="2" width="25" style="1" customWidth="1"/>
    <col min="3" max="3" width="7.5" style="2" customWidth="1"/>
    <col min="4" max="4" width="7.5" style="3" customWidth="1"/>
    <col min="5" max="5" width="9.25" style="4" bestFit="1" customWidth="1"/>
    <col min="6" max="54" width="2.5" style="1" customWidth="1"/>
    <col min="55" max="55" width="3.25" style="1" customWidth="1"/>
    <col min="56" max="56" width="4.25" style="1" customWidth="1"/>
    <col min="57" max="57" width="11.5" style="1" customWidth="1"/>
    <col min="58" max="58" width="11.5" style="1"/>
    <col min="59" max="59" width="15.25" style="1" customWidth="1"/>
    <col min="60" max="16384" width="11.5" style="1"/>
  </cols>
  <sheetData>
    <row r="1" spans="2:54" ht="15.75" thickBot="1" x14ac:dyDescent="0.3"/>
    <row r="2" spans="2:54" ht="15.75" customHeight="1" x14ac:dyDescent="0.25">
      <c r="B2" s="8" t="s">
        <v>0</v>
      </c>
      <c r="C2" s="143" t="s">
        <v>1</v>
      </c>
      <c r="D2" s="144"/>
      <c r="E2" s="145"/>
      <c r="F2" s="129">
        <v>1</v>
      </c>
      <c r="G2" s="130"/>
      <c r="H2" s="130"/>
      <c r="I2" s="130"/>
      <c r="J2" s="131"/>
      <c r="K2" s="129">
        <v>2</v>
      </c>
      <c r="L2" s="130"/>
      <c r="M2" s="130"/>
      <c r="N2" s="130"/>
      <c r="O2" s="131"/>
      <c r="P2" s="129">
        <v>3</v>
      </c>
      <c r="Q2" s="131"/>
      <c r="R2" s="129">
        <v>4</v>
      </c>
      <c r="S2" s="130"/>
      <c r="T2" s="130"/>
      <c r="U2" s="130"/>
      <c r="V2" s="131"/>
      <c r="W2" s="129">
        <v>5</v>
      </c>
      <c r="X2" s="130"/>
      <c r="Y2" s="130"/>
      <c r="Z2" s="130"/>
      <c r="AA2" s="131"/>
      <c r="AB2" s="129">
        <v>6</v>
      </c>
      <c r="AC2" s="130"/>
      <c r="AD2" s="130"/>
      <c r="AE2" s="130"/>
      <c r="AF2" s="131"/>
      <c r="AG2" s="129">
        <v>7</v>
      </c>
      <c r="AH2" s="130"/>
      <c r="AI2" s="130"/>
      <c r="AJ2" s="130"/>
      <c r="AK2" s="131"/>
      <c r="AL2" s="129">
        <v>8</v>
      </c>
      <c r="AM2" s="131"/>
      <c r="AN2" s="129">
        <v>9</v>
      </c>
      <c r="AO2" s="130"/>
      <c r="AP2" s="130"/>
      <c r="AQ2" s="130"/>
      <c r="AR2" s="131"/>
      <c r="AS2" s="129">
        <v>10</v>
      </c>
      <c r="AT2" s="130"/>
      <c r="AU2" s="130"/>
      <c r="AV2" s="130"/>
      <c r="AW2" s="131"/>
      <c r="AX2" s="129">
        <v>11</v>
      </c>
      <c r="AY2" s="130"/>
      <c r="AZ2" s="130"/>
      <c r="BA2" s="130"/>
      <c r="BB2" s="131"/>
    </row>
    <row r="3" spans="2:54" ht="15" customHeight="1" thickBot="1" x14ac:dyDescent="0.3">
      <c r="B3" s="9" t="s">
        <v>2</v>
      </c>
      <c r="C3" s="146"/>
      <c r="D3" s="147"/>
      <c r="E3" s="148"/>
      <c r="F3" s="132">
        <v>46090</v>
      </c>
      <c r="G3" s="133"/>
      <c r="H3" s="133"/>
      <c r="I3" s="133"/>
      <c r="J3" s="134"/>
      <c r="K3" s="132">
        <v>46091</v>
      </c>
      <c r="L3" s="133"/>
      <c r="M3" s="133"/>
      <c r="N3" s="133"/>
      <c r="O3" s="134"/>
      <c r="P3" s="135">
        <v>46092</v>
      </c>
      <c r="Q3" s="136"/>
      <c r="R3" s="132">
        <v>46093</v>
      </c>
      <c r="S3" s="133"/>
      <c r="T3" s="133"/>
      <c r="U3" s="133"/>
      <c r="V3" s="134"/>
      <c r="W3" s="132">
        <v>46094</v>
      </c>
      <c r="X3" s="133"/>
      <c r="Y3" s="133"/>
      <c r="Z3" s="133"/>
      <c r="AA3" s="134"/>
      <c r="AB3" s="132">
        <v>46097</v>
      </c>
      <c r="AC3" s="133"/>
      <c r="AD3" s="133"/>
      <c r="AE3" s="133"/>
      <c r="AF3" s="134"/>
      <c r="AG3" s="132">
        <v>46098</v>
      </c>
      <c r="AH3" s="133"/>
      <c r="AI3" s="133"/>
      <c r="AJ3" s="133"/>
      <c r="AK3" s="134"/>
      <c r="AL3" s="132">
        <v>46099</v>
      </c>
      <c r="AM3" s="134"/>
      <c r="AN3" s="132">
        <v>46100</v>
      </c>
      <c r="AO3" s="133"/>
      <c r="AP3" s="133"/>
      <c r="AQ3" s="133"/>
      <c r="AR3" s="134"/>
      <c r="AS3" s="132">
        <v>46101</v>
      </c>
      <c r="AT3" s="133"/>
      <c r="AU3" s="133"/>
      <c r="AV3" s="133"/>
      <c r="AW3" s="134"/>
      <c r="AX3" s="132">
        <v>46104</v>
      </c>
      <c r="AY3" s="133"/>
      <c r="AZ3" s="133"/>
      <c r="BA3" s="133"/>
      <c r="BB3" s="134"/>
    </row>
    <row r="4" spans="2:54" ht="82.9" customHeight="1" thickBot="1" x14ac:dyDescent="0.3">
      <c r="B4" s="167" t="s">
        <v>61</v>
      </c>
      <c r="C4" s="168"/>
      <c r="D4" s="168"/>
      <c r="E4" s="169"/>
      <c r="F4" s="10" t="s">
        <v>4</v>
      </c>
      <c r="G4" s="11" t="s">
        <v>5</v>
      </c>
      <c r="H4" s="12" t="s">
        <v>6</v>
      </c>
      <c r="I4" s="11" t="s">
        <v>7</v>
      </c>
      <c r="J4" s="13" t="s">
        <v>8</v>
      </c>
      <c r="K4" s="14" t="s">
        <v>4</v>
      </c>
      <c r="L4" s="11" t="s">
        <v>5</v>
      </c>
      <c r="M4" s="12" t="s">
        <v>6</v>
      </c>
      <c r="N4" s="11" t="s">
        <v>7</v>
      </c>
      <c r="O4" s="13" t="s">
        <v>8</v>
      </c>
      <c r="P4" s="14" t="s">
        <v>4</v>
      </c>
      <c r="Q4" s="11" t="s">
        <v>5</v>
      </c>
      <c r="R4" s="14" t="s">
        <v>4</v>
      </c>
      <c r="S4" s="11" t="s">
        <v>5</v>
      </c>
      <c r="T4" s="12" t="s">
        <v>6</v>
      </c>
      <c r="U4" s="11" t="s">
        <v>7</v>
      </c>
      <c r="V4" s="13" t="s">
        <v>8</v>
      </c>
      <c r="W4" s="14" t="s">
        <v>4</v>
      </c>
      <c r="X4" s="11" t="s">
        <v>5</v>
      </c>
      <c r="Y4" s="12" t="s">
        <v>6</v>
      </c>
      <c r="Z4" s="11" t="s">
        <v>7</v>
      </c>
      <c r="AA4" s="13" t="s">
        <v>8</v>
      </c>
      <c r="AB4" s="14" t="s">
        <v>4</v>
      </c>
      <c r="AC4" s="11" t="s">
        <v>5</v>
      </c>
      <c r="AD4" s="12" t="s">
        <v>6</v>
      </c>
      <c r="AE4" s="11" t="s">
        <v>7</v>
      </c>
      <c r="AF4" s="13" t="s">
        <v>8</v>
      </c>
      <c r="AG4" s="14" t="s">
        <v>4</v>
      </c>
      <c r="AH4" s="11" t="s">
        <v>5</v>
      </c>
      <c r="AI4" s="12" t="s">
        <v>6</v>
      </c>
      <c r="AJ4" s="11" t="s">
        <v>7</v>
      </c>
      <c r="AK4" s="13" t="s">
        <v>8</v>
      </c>
      <c r="AL4" s="14" t="s">
        <v>4</v>
      </c>
      <c r="AM4" s="11" t="s">
        <v>5</v>
      </c>
      <c r="AN4" s="14" t="s">
        <v>4</v>
      </c>
      <c r="AO4" s="11" t="s">
        <v>5</v>
      </c>
      <c r="AP4" s="12" t="s">
        <v>6</v>
      </c>
      <c r="AQ4" s="11" t="s">
        <v>7</v>
      </c>
      <c r="AR4" s="13" t="s">
        <v>8</v>
      </c>
      <c r="AS4" s="14" t="s">
        <v>4</v>
      </c>
      <c r="AT4" s="11" t="s">
        <v>5</v>
      </c>
      <c r="AU4" s="12" t="s">
        <v>6</v>
      </c>
      <c r="AV4" s="11" t="s">
        <v>7</v>
      </c>
      <c r="AW4" s="13" t="s">
        <v>8</v>
      </c>
      <c r="AX4" s="14" t="s">
        <v>4</v>
      </c>
      <c r="AY4" s="11" t="s">
        <v>5</v>
      </c>
      <c r="AZ4" s="12" t="s">
        <v>6</v>
      </c>
      <c r="BA4" s="11" t="s">
        <v>7</v>
      </c>
      <c r="BB4" s="13" t="s">
        <v>66</v>
      </c>
    </row>
    <row r="5" spans="2:54" ht="15" customHeight="1" thickBot="1" x14ac:dyDescent="0.3">
      <c r="B5" s="7" t="s">
        <v>9</v>
      </c>
      <c r="C5" s="15">
        <f>SUM(C6:C17)</f>
        <v>4.5</v>
      </c>
      <c r="D5" s="16">
        <f>SUM(D6:D17)</f>
        <v>4.75</v>
      </c>
      <c r="E5" s="17">
        <f>(C5-D5)</f>
        <v>-0.25</v>
      </c>
      <c r="F5" s="138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  <c r="T5" s="139"/>
      <c r="U5" s="139"/>
      <c r="V5" s="139"/>
      <c r="W5" s="139"/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39"/>
      <c r="AL5" s="139"/>
      <c r="AM5" s="139"/>
      <c r="AN5" s="139"/>
      <c r="AO5" s="139"/>
      <c r="AP5" s="139"/>
      <c r="AQ5" s="139"/>
      <c r="AR5" s="139"/>
      <c r="AS5" s="139"/>
      <c r="AT5" s="139"/>
      <c r="AU5" s="139"/>
      <c r="AV5" s="139"/>
      <c r="AW5" s="139"/>
      <c r="AX5" s="139"/>
      <c r="AY5" s="139"/>
      <c r="AZ5" s="139"/>
      <c r="BA5" s="139"/>
      <c r="BB5" s="140"/>
    </row>
    <row r="6" spans="2:54" ht="15" customHeight="1" x14ac:dyDescent="0.25">
      <c r="B6" s="141" t="s">
        <v>52</v>
      </c>
      <c r="C6" s="102">
        <f>SUM(F6:BB6)</f>
        <v>1.5</v>
      </c>
      <c r="D6" s="102">
        <f>SUM(F7:BB7)</f>
        <v>1.25</v>
      </c>
      <c r="E6" s="65">
        <f>(AVERAGE(C6,C7)-AVERAGE(D6,D7) )</f>
        <v>0.25</v>
      </c>
      <c r="F6" s="182">
        <v>1.5</v>
      </c>
      <c r="G6" s="183"/>
      <c r="H6" s="183"/>
      <c r="I6" s="183"/>
      <c r="J6" s="184"/>
      <c r="K6" s="185"/>
      <c r="L6" s="183"/>
      <c r="M6" s="183"/>
      <c r="N6" s="183"/>
      <c r="O6" s="184"/>
      <c r="P6" s="186"/>
      <c r="Q6" s="183"/>
      <c r="R6" s="186"/>
      <c r="S6" s="183"/>
      <c r="T6" s="183"/>
      <c r="U6" s="183"/>
      <c r="V6" s="184"/>
      <c r="W6" s="186"/>
      <c r="X6" s="183"/>
      <c r="Y6" s="183"/>
      <c r="Z6" s="183"/>
      <c r="AA6" s="184"/>
      <c r="AB6" s="186"/>
      <c r="AC6" s="183"/>
      <c r="AD6" s="183"/>
      <c r="AE6" s="183"/>
      <c r="AF6" s="184"/>
      <c r="AG6" s="186"/>
      <c r="AH6" s="183"/>
      <c r="AI6" s="183"/>
      <c r="AJ6" s="183"/>
      <c r="AK6" s="184"/>
      <c r="AL6" s="186"/>
      <c r="AM6" s="183"/>
      <c r="AN6" s="186"/>
      <c r="AO6" s="183"/>
      <c r="AP6" s="183"/>
      <c r="AQ6" s="183"/>
      <c r="AR6" s="184"/>
      <c r="AS6" s="186"/>
      <c r="AT6" s="183"/>
      <c r="AU6" s="183"/>
      <c r="AV6" s="183"/>
      <c r="AW6" s="184"/>
      <c r="AX6" s="186"/>
      <c r="AY6" s="183"/>
      <c r="AZ6" s="183"/>
      <c r="BA6" s="183"/>
      <c r="BB6" s="184"/>
    </row>
    <row r="7" spans="2:54" ht="15" customHeight="1" x14ac:dyDescent="0.25">
      <c r="B7" s="142"/>
      <c r="C7" s="45"/>
      <c r="D7" s="45"/>
      <c r="E7" s="47"/>
      <c r="F7" s="187">
        <v>0.75</v>
      </c>
      <c r="G7" s="188"/>
      <c r="H7" s="188"/>
      <c r="I7" s="188"/>
      <c r="J7" s="189"/>
      <c r="K7" s="190">
        <v>0.25</v>
      </c>
      <c r="L7" s="188"/>
      <c r="M7" s="188"/>
      <c r="N7" s="188"/>
      <c r="O7" s="189"/>
      <c r="P7" s="191"/>
      <c r="Q7" s="192">
        <v>0.25</v>
      </c>
      <c r="R7" s="191"/>
      <c r="S7" s="188"/>
      <c r="T7" s="188"/>
      <c r="U7" s="188"/>
      <c r="V7" s="189"/>
      <c r="W7" s="191"/>
      <c r="X7" s="188"/>
      <c r="Y7" s="188"/>
      <c r="Z7" s="188"/>
      <c r="AA7" s="189"/>
      <c r="AB7" s="191"/>
      <c r="AC7" s="188"/>
      <c r="AD7" s="188"/>
      <c r="AE7" s="188"/>
      <c r="AF7" s="189"/>
      <c r="AG7" s="191"/>
      <c r="AH7" s="188"/>
      <c r="AI7" s="188"/>
      <c r="AJ7" s="188"/>
      <c r="AK7" s="189"/>
      <c r="AL7" s="191"/>
      <c r="AM7" s="188"/>
      <c r="AN7" s="191"/>
      <c r="AO7" s="188"/>
      <c r="AP7" s="188"/>
      <c r="AQ7" s="188"/>
      <c r="AR7" s="189"/>
      <c r="AS7" s="191"/>
      <c r="AT7" s="188"/>
      <c r="AU7" s="188"/>
      <c r="AV7" s="188"/>
      <c r="AW7" s="189"/>
      <c r="AX7" s="191"/>
      <c r="AY7" s="188"/>
      <c r="AZ7" s="188"/>
      <c r="BA7" s="188"/>
      <c r="BB7" s="189"/>
    </row>
    <row r="8" spans="2:54" ht="15" customHeight="1" x14ac:dyDescent="0.25">
      <c r="B8" s="123" t="s">
        <v>48</v>
      </c>
      <c r="C8" s="44">
        <f>SUM(F8:BB8)</f>
        <v>0.5</v>
      </c>
      <c r="D8" s="44">
        <f>SUM(F9:BB9)</f>
        <v>0.5</v>
      </c>
      <c r="E8" s="46">
        <f>(AVERAGE(C8,C9)-AVERAGE(D8,D9) )</f>
        <v>0</v>
      </c>
      <c r="F8" s="193"/>
      <c r="G8" s="194">
        <v>0.5</v>
      </c>
      <c r="H8" s="195"/>
      <c r="I8" s="195"/>
      <c r="J8" s="196"/>
      <c r="K8" s="193"/>
      <c r="L8" s="195"/>
      <c r="M8" s="195"/>
      <c r="N8" s="195"/>
      <c r="O8" s="196"/>
      <c r="P8" s="193"/>
      <c r="Q8" s="195"/>
      <c r="R8" s="193"/>
      <c r="S8" s="195"/>
      <c r="T8" s="195"/>
      <c r="U8" s="195"/>
      <c r="V8" s="196"/>
      <c r="W8" s="193"/>
      <c r="X8" s="195" t="s">
        <v>51</v>
      </c>
      <c r="Y8" s="195"/>
      <c r="Z8" s="195"/>
      <c r="AA8" s="196"/>
      <c r="AB8" s="193"/>
      <c r="AC8" s="195"/>
      <c r="AD8" s="195"/>
      <c r="AE8" s="195"/>
      <c r="AF8" s="196"/>
      <c r="AG8" s="193"/>
      <c r="AH8" s="195"/>
      <c r="AI8" s="195"/>
      <c r="AJ8" s="195"/>
      <c r="AK8" s="196"/>
      <c r="AL8" s="193"/>
      <c r="AM8" s="195"/>
      <c r="AN8" s="193"/>
      <c r="AO8" s="195"/>
      <c r="AP8" s="195"/>
      <c r="AQ8" s="195"/>
      <c r="AR8" s="196"/>
      <c r="AS8" s="193"/>
      <c r="AT8" s="195"/>
      <c r="AU8" s="195"/>
      <c r="AV8" s="195"/>
      <c r="AW8" s="196"/>
      <c r="AX8" s="193"/>
      <c r="AY8" s="195"/>
      <c r="AZ8" s="195"/>
      <c r="BA8" s="195"/>
      <c r="BB8" s="196"/>
    </row>
    <row r="9" spans="2:54" ht="15" customHeight="1" x14ac:dyDescent="0.25">
      <c r="B9" s="137"/>
      <c r="C9" s="45"/>
      <c r="D9" s="45"/>
      <c r="E9" s="47"/>
      <c r="F9" s="192">
        <v>0.5</v>
      </c>
      <c r="G9" s="185"/>
      <c r="H9" s="188"/>
      <c r="I9" s="188"/>
      <c r="J9" s="189"/>
      <c r="K9" s="191"/>
      <c r="L9" s="188"/>
      <c r="M9" s="188"/>
      <c r="N9" s="188"/>
      <c r="O9" s="189"/>
      <c r="P9" s="191"/>
      <c r="Q9" s="188"/>
      <c r="R9" s="191"/>
      <c r="S9" s="188"/>
      <c r="T9" s="188"/>
      <c r="U9" s="188"/>
      <c r="V9" s="189"/>
      <c r="W9" s="191"/>
      <c r="X9" s="188"/>
      <c r="Y9" s="188"/>
      <c r="Z9" s="188"/>
      <c r="AA9" s="189"/>
      <c r="AB9" s="191"/>
      <c r="AC9" s="188"/>
      <c r="AD9" s="188"/>
      <c r="AE9" s="188"/>
      <c r="AF9" s="189"/>
      <c r="AG9" s="191"/>
      <c r="AH9" s="188"/>
      <c r="AI9" s="188"/>
      <c r="AJ9" s="188"/>
      <c r="AK9" s="189"/>
      <c r="AL9" s="191"/>
      <c r="AM9" s="188"/>
      <c r="AN9" s="191"/>
      <c r="AO9" s="188"/>
      <c r="AP9" s="188"/>
      <c r="AQ9" s="188"/>
      <c r="AR9" s="189"/>
      <c r="AS9" s="191"/>
      <c r="AT9" s="188"/>
      <c r="AU9" s="188"/>
      <c r="AV9" s="188"/>
      <c r="AW9" s="189"/>
      <c r="AX9" s="191"/>
      <c r="AY9" s="188"/>
      <c r="AZ9" s="188"/>
      <c r="BA9" s="188"/>
      <c r="BB9" s="189"/>
    </row>
    <row r="10" spans="2:54" ht="15" customHeight="1" x14ac:dyDescent="0.25">
      <c r="B10" s="123" t="s">
        <v>20</v>
      </c>
      <c r="C10" s="44">
        <f>SUM(F10:BB10)</f>
        <v>0.5</v>
      </c>
      <c r="D10" s="44">
        <f>SUM(F11:BB11)</f>
        <v>0.5</v>
      </c>
      <c r="E10" s="46">
        <f>(AVERAGE(C10,C11)-AVERAGE(D10,D11) )</f>
        <v>0</v>
      </c>
      <c r="F10" s="193"/>
      <c r="G10" s="194">
        <v>0.5</v>
      </c>
      <c r="H10" s="195"/>
      <c r="I10" s="195"/>
      <c r="J10" s="196"/>
      <c r="K10" s="193"/>
      <c r="L10" s="195"/>
      <c r="M10" s="195"/>
      <c r="N10" s="195"/>
      <c r="O10" s="196"/>
      <c r="P10" s="183"/>
      <c r="Q10" s="195"/>
      <c r="R10" s="193"/>
      <c r="S10" s="195"/>
      <c r="T10" s="195"/>
      <c r="U10" s="195"/>
      <c r="V10" s="196"/>
      <c r="W10" s="193"/>
      <c r="X10" s="195"/>
      <c r="Y10" s="195"/>
      <c r="Z10" s="195"/>
      <c r="AA10" s="196"/>
      <c r="AB10" s="193"/>
      <c r="AC10" s="195"/>
      <c r="AD10" s="195"/>
      <c r="AE10" s="195"/>
      <c r="AF10" s="196"/>
      <c r="AG10" s="193"/>
      <c r="AH10" s="195"/>
      <c r="AI10" s="195"/>
      <c r="AJ10" s="195"/>
      <c r="AK10" s="196"/>
      <c r="AL10" s="193"/>
      <c r="AM10" s="195"/>
      <c r="AN10" s="193"/>
      <c r="AO10" s="195"/>
      <c r="AP10" s="195"/>
      <c r="AQ10" s="195"/>
      <c r="AR10" s="196"/>
      <c r="AS10" s="193"/>
      <c r="AT10" s="195"/>
      <c r="AU10" s="195"/>
      <c r="AV10" s="195"/>
      <c r="AW10" s="196"/>
      <c r="AX10" s="193"/>
      <c r="AY10" s="195"/>
      <c r="AZ10" s="195"/>
      <c r="BA10" s="195"/>
      <c r="BB10" s="196"/>
    </row>
    <row r="11" spans="2:54" ht="15" customHeight="1" x14ac:dyDescent="0.25">
      <c r="B11" s="137"/>
      <c r="C11" s="45"/>
      <c r="D11" s="45"/>
      <c r="E11" s="47"/>
      <c r="F11" s="197">
        <v>0.25</v>
      </c>
      <c r="G11" s="192">
        <v>0.25</v>
      </c>
      <c r="H11" s="188"/>
      <c r="I11" s="188"/>
      <c r="J11" s="189"/>
      <c r="K11" s="191"/>
      <c r="L11" s="188"/>
      <c r="M11" s="188"/>
      <c r="N11" s="188"/>
      <c r="O11" s="189"/>
      <c r="P11" s="191"/>
      <c r="Q11" s="188"/>
      <c r="R11" s="191"/>
      <c r="S11" s="188"/>
      <c r="T11" s="188"/>
      <c r="U11" s="188"/>
      <c r="V11" s="189"/>
      <c r="W11" s="191"/>
      <c r="X11" s="188"/>
      <c r="Y11" s="188"/>
      <c r="Z11" s="188"/>
      <c r="AA11" s="189"/>
      <c r="AB11" s="191"/>
      <c r="AC11" s="188"/>
      <c r="AD11" s="188"/>
      <c r="AE11" s="188"/>
      <c r="AF11" s="189"/>
      <c r="AG11" s="191"/>
      <c r="AH11" s="188"/>
      <c r="AI11" s="188"/>
      <c r="AJ11" s="188"/>
      <c r="AK11" s="189"/>
      <c r="AL11" s="191"/>
      <c r="AM11" s="188"/>
      <c r="AN11" s="191"/>
      <c r="AO11" s="188"/>
      <c r="AP11" s="188"/>
      <c r="AQ11" s="188"/>
      <c r="AR11" s="189"/>
      <c r="AS11" s="191"/>
      <c r="AT11" s="188"/>
      <c r="AU11" s="188"/>
      <c r="AV11" s="188"/>
      <c r="AW11" s="189"/>
      <c r="AX11" s="191"/>
      <c r="AY11" s="188"/>
      <c r="AZ11" s="188"/>
      <c r="BA11" s="188"/>
      <c r="BB11" s="189"/>
    </row>
    <row r="12" spans="2:54" ht="15" customHeight="1" x14ac:dyDescent="0.25">
      <c r="B12" s="123" t="s">
        <v>21</v>
      </c>
      <c r="C12" s="44">
        <f>SUM(F12:BB12)</f>
        <v>0.5</v>
      </c>
      <c r="D12" s="44">
        <f>SUM(F13:BB13)</f>
        <v>0.75</v>
      </c>
      <c r="E12" s="46">
        <f>(AVERAGE(C12,C13)-AVERAGE(D12,D13) )</f>
        <v>-0.25</v>
      </c>
      <c r="F12" s="193"/>
      <c r="G12" s="194">
        <v>0.5</v>
      </c>
      <c r="H12" s="195"/>
      <c r="I12" s="195"/>
      <c r="J12" s="196"/>
      <c r="K12" s="193"/>
      <c r="L12" s="195"/>
      <c r="M12" s="195"/>
      <c r="N12" s="195"/>
      <c r="O12" s="196"/>
      <c r="P12" s="193"/>
      <c r="Q12" s="195"/>
      <c r="R12" s="193"/>
      <c r="S12" s="195"/>
      <c r="T12" s="195"/>
      <c r="U12" s="195"/>
      <c r="V12" s="196"/>
      <c r="W12" s="193"/>
      <c r="X12" s="195"/>
      <c r="Y12" s="195"/>
      <c r="Z12" s="195"/>
      <c r="AA12" s="196"/>
      <c r="AB12" s="193"/>
      <c r="AC12" s="195"/>
      <c r="AD12" s="195"/>
      <c r="AE12" s="195"/>
      <c r="AF12" s="196"/>
      <c r="AG12" s="193"/>
      <c r="AH12" s="195"/>
      <c r="AI12" s="195"/>
      <c r="AJ12" s="195"/>
      <c r="AK12" s="196"/>
      <c r="AL12" s="193"/>
      <c r="AM12" s="195"/>
      <c r="AN12" s="193"/>
      <c r="AO12" s="195"/>
      <c r="AP12" s="195"/>
      <c r="AQ12" s="195"/>
      <c r="AR12" s="196"/>
      <c r="AS12" s="193"/>
      <c r="AT12" s="195"/>
      <c r="AU12" s="195"/>
      <c r="AV12" s="195"/>
      <c r="AW12" s="196"/>
      <c r="AX12" s="193"/>
      <c r="AY12" s="195"/>
      <c r="AZ12" s="195"/>
      <c r="BA12" s="195"/>
      <c r="BB12" s="196"/>
    </row>
    <row r="13" spans="2:54" ht="15" customHeight="1" x14ac:dyDescent="0.25">
      <c r="B13" s="137"/>
      <c r="C13" s="45"/>
      <c r="D13" s="45"/>
      <c r="E13" s="47"/>
      <c r="F13" s="191"/>
      <c r="G13" s="192">
        <v>0.75</v>
      </c>
      <c r="H13" s="188"/>
      <c r="I13" s="188"/>
      <c r="J13" s="189"/>
      <c r="K13" s="191"/>
      <c r="L13" s="188"/>
      <c r="M13" s="188"/>
      <c r="N13" s="188"/>
      <c r="O13" s="189"/>
      <c r="P13" s="191"/>
      <c r="Q13" s="188"/>
      <c r="R13" s="191"/>
      <c r="S13" s="188"/>
      <c r="T13" s="188"/>
      <c r="U13" s="188"/>
      <c r="V13" s="189"/>
      <c r="W13" s="191"/>
      <c r="X13" s="188"/>
      <c r="Y13" s="188"/>
      <c r="Z13" s="188"/>
      <c r="AA13" s="189"/>
      <c r="AB13" s="191"/>
      <c r="AC13" s="188"/>
      <c r="AD13" s="188"/>
      <c r="AE13" s="188"/>
      <c r="AF13" s="189"/>
      <c r="AG13" s="191"/>
      <c r="AH13" s="188"/>
      <c r="AI13" s="188"/>
      <c r="AJ13" s="188"/>
      <c r="AK13" s="189"/>
      <c r="AL13" s="191"/>
      <c r="AM13" s="188"/>
      <c r="AN13" s="191"/>
      <c r="AO13" s="188"/>
      <c r="AP13" s="188"/>
      <c r="AQ13" s="188"/>
      <c r="AR13" s="189"/>
      <c r="AS13" s="191"/>
      <c r="AT13" s="188"/>
      <c r="AU13" s="188"/>
      <c r="AV13" s="188"/>
      <c r="AW13" s="189"/>
      <c r="AX13" s="191"/>
      <c r="AY13" s="188"/>
      <c r="AZ13" s="188"/>
      <c r="BA13" s="188"/>
      <c r="BB13" s="189"/>
    </row>
    <row r="14" spans="2:54" ht="15" customHeight="1" x14ac:dyDescent="0.25">
      <c r="B14" s="123" t="s">
        <v>22</v>
      </c>
      <c r="C14" s="44">
        <f>SUM(F14:BB14)</f>
        <v>0.5</v>
      </c>
      <c r="D14" s="44">
        <f>SUM(F15:BB15)</f>
        <v>0.5</v>
      </c>
      <c r="E14" s="46">
        <f>(AVERAGE(C14,C15)-AVERAGE(D14,D15) )</f>
        <v>0</v>
      </c>
      <c r="F14" s="193"/>
      <c r="G14" s="195"/>
      <c r="H14" s="194">
        <v>0.5</v>
      </c>
      <c r="I14" s="195"/>
      <c r="J14" s="196"/>
      <c r="K14" s="193"/>
      <c r="L14" s="195"/>
      <c r="M14" s="195"/>
      <c r="N14" s="195"/>
      <c r="O14" s="196"/>
      <c r="P14" s="193"/>
      <c r="Q14" s="195"/>
      <c r="R14" s="193"/>
      <c r="S14" s="195"/>
      <c r="T14" s="195"/>
      <c r="U14" s="195"/>
      <c r="V14" s="196"/>
      <c r="W14" s="193"/>
      <c r="X14" s="195"/>
      <c r="Y14" s="195"/>
      <c r="Z14" s="195"/>
      <c r="AA14" s="196"/>
      <c r="AB14" s="193"/>
      <c r="AC14" s="195"/>
      <c r="AD14" s="195"/>
      <c r="AE14" s="195"/>
      <c r="AF14" s="196"/>
      <c r="AG14" s="193"/>
      <c r="AH14" s="195"/>
      <c r="AI14" s="195"/>
      <c r="AJ14" s="195"/>
      <c r="AK14" s="196"/>
      <c r="AL14" s="193"/>
      <c r="AM14" s="195"/>
      <c r="AN14" s="193"/>
      <c r="AO14" s="195"/>
      <c r="AP14" s="195"/>
      <c r="AQ14" s="195"/>
      <c r="AR14" s="196"/>
      <c r="AS14" s="193"/>
      <c r="AT14" s="195"/>
      <c r="AU14" s="195"/>
      <c r="AV14" s="195"/>
      <c r="AW14" s="196"/>
      <c r="AX14" s="193"/>
      <c r="AY14" s="195"/>
      <c r="AZ14" s="195"/>
      <c r="BA14" s="195"/>
      <c r="BB14" s="196"/>
    </row>
    <row r="15" spans="2:54" ht="15" customHeight="1" x14ac:dyDescent="0.25">
      <c r="B15" s="137"/>
      <c r="C15" s="45"/>
      <c r="D15" s="45"/>
      <c r="E15" s="47"/>
      <c r="F15" s="191"/>
      <c r="G15" s="192">
        <v>0.5</v>
      </c>
      <c r="H15" s="185"/>
      <c r="I15" s="188"/>
      <c r="J15" s="189"/>
      <c r="K15" s="191"/>
      <c r="L15" s="188"/>
      <c r="M15" s="188"/>
      <c r="N15" s="188"/>
      <c r="O15" s="189"/>
      <c r="P15" s="191"/>
      <c r="Q15" s="188"/>
      <c r="R15" s="191"/>
      <c r="S15" s="188"/>
      <c r="T15" s="188"/>
      <c r="U15" s="188"/>
      <c r="V15" s="189"/>
      <c r="W15" s="191"/>
      <c r="X15" s="188"/>
      <c r="Y15" s="188"/>
      <c r="Z15" s="188"/>
      <c r="AA15" s="189"/>
      <c r="AB15" s="191"/>
      <c r="AC15" s="188"/>
      <c r="AD15" s="188"/>
      <c r="AE15" s="188"/>
      <c r="AF15" s="189"/>
      <c r="AG15" s="191"/>
      <c r="AH15" s="188"/>
      <c r="AI15" s="188"/>
      <c r="AJ15" s="188"/>
      <c r="AK15" s="189"/>
      <c r="AL15" s="191"/>
      <c r="AM15" s="188"/>
      <c r="AN15" s="191"/>
      <c r="AO15" s="188"/>
      <c r="AP15" s="188"/>
      <c r="AQ15" s="188"/>
      <c r="AR15" s="189"/>
      <c r="AS15" s="191"/>
      <c r="AT15" s="188"/>
      <c r="AU15" s="188"/>
      <c r="AV15" s="188"/>
      <c r="AW15" s="189"/>
      <c r="AX15" s="191"/>
      <c r="AY15" s="188"/>
      <c r="AZ15" s="188"/>
      <c r="BA15" s="188"/>
      <c r="BB15" s="189"/>
    </row>
    <row r="16" spans="2:54" ht="15" customHeight="1" x14ac:dyDescent="0.25">
      <c r="B16" s="123" t="s">
        <v>23</v>
      </c>
      <c r="C16" s="44">
        <f>SUM(F16:BB16)</f>
        <v>1</v>
      </c>
      <c r="D16" s="44">
        <f>SUM(F17:BB17)</f>
        <v>1.25</v>
      </c>
      <c r="E16" s="46">
        <f>(AVERAGE(C16,C17)-AVERAGE(D16,D17) )</f>
        <v>-0.25</v>
      </c>
      <c r="F16" s="186"/>
      <c r="G16" s="183"/>
      <c r="H16" s="194">
        <v>1</v>
      </c>
      <c r="I16" s="183"/>
      <c r="J16" s="184"/>
      <c r="K16" s="186"/>
      <c r="L16" s="183"/>
      <c r="M16" s="183"/>
      <c r="N16" s="183"/>
      <c r="O16" s="184"/>
      <c r="P16" s="186"/>
      <c r="Q16" s="183"/>
      <c r="R16" s="186"/>
      <c r="S16" s="183"/>
      <c r="T16" s="183"/>
      <c r="U16" s="183"/>
      <c r="V16" s="184"/>
      <c r="W16" s="186"/>
      <c r="X16" s="183"/>
      <c r="Y16" s="183"/>
      <c r="Z16" s="183"/>
      <c r="AA16" s="184"/>
      <c r="AB16" s="186"/>
      <c r="AC16" s="183"/>
      <c r="AD16" s="183"/>
      <c r="AE16" s="183"/>
      <c r="AF16" s="184"/>
      <c r="AG16" s="186"/>
      <c r="AH16" s="183"/>
      <c r="AI16" s="183"/>
      <c r="AJ16" s="183"/>
      <c r="AK16" s="184"/>
      <c r="AL16" s="186"/>
      <c r="AM16" s="183"/>
      <c r="AN16" s="186"/>
      <c r="AO16" s="183"/>
      <c r="AP16" s="183"/>
      <c r="AQ16" s="183"/>
      <c r="AR16" s="184"/>
      <c r="AS16" s="186"/>
      <c r="AT16" s="183"/>
      <c r="AU16" s="183"/>
      <c r="AV16" s="183"/>
      <c r="AW16" s="184"/>
      <c r="AX16" s="186"/>
      <c r="AY16" s="183"/>
      <c r="AZ16" s="183"/>
      <c r="BA16" s="183"/>
      <c r="BB16" s="184"/>
    </row>
    <row r="17" spans="2:54" ht="15" customHeight="1" thickBot="1" x14ac:dyDescent="0.3">
      <c r="B17" s="124"/>
      <c r="C17" s="56"/>
      <c r="D17" s="56"/>
      <c r="E17" s="57"/>
      <c r="F17" s="186"/>
      <c r="G17" s="198">
        <v>0.25</v>
      </c>
      <c r="H17" s="192">
        <v>1</v>
      </c>
      <c r="I17" s="183"/>
      <c r="J17" s="184"/>
      <c r="K17" s="186"/>
      <c r="L17" s="183"/>
      <c r="M17" s="183"/>
      <c r="N17" s="183"/>
      <c r="O17" s="184"/>
      <c r="P17" s="186"/>
      <c r="Q17" s="183"/>
      <c r="R17" s="186"/>
      <c r="S17" s="183"/>
      <c r="T17" s="183"/>
      <c r="U17" s="183"/>
      <c r="V17" s="184"/>
      <c r="W17" s="186"/>
      <c r="X17" s="183"/>
      <c r="Y17" s="183"/>
      <c r="Z17" s="183"/>
      <c r="AA17" s="184"/>
      <c r="AB17" s="186"/>
      <c r="AC17" s="183"/>
      <c r="AD17" s="183"/>
      <c r="AE17" s="183"/>
      <c r="AF17" s="184"/>
      <c r="AG17" s="186"/>
      <c r="AH17" s="183"/>
      <c r="AI17" s="183"/>
      <c r="AJ17" s="183"/>
      <c r="AK17" s="184"/>
      <c r="AL17" s="186"/>
      <c r="AM17" s="183"/>
      <c r="AN17" s="186"/>
      <c r="AO17" s="183"/>
      <c r="AP17" s="183"/>
      <c r="AQ17" s="183"/>
      <c r="AR17" s="184"/>
      <c r="AS17" s="186"/>
      <c r="AT17" s="183"/>
      <c r="AU17" s="183"/>
      <c r="AV17" s="183"/>
      <c r="AW17" s="184"/>
      <c r="AX17" s="186"/>
      <c r="AY17" s="183"/>
      <c r="AZ17" s="183"/>
      <c r="BA17" s="183"/>
      <c r="BB17" s="184"/>
    </row>
    <row r="18" spans="2:54" ht="15" customHeight="1" x14ac:dyDescent="0.25">
      <c r="B18" s="125" t="s">
        <v>10</v>
      </c>
      <c r="C18" s="68">
        <f>SUM(C20:C23)</f>
        <v>1.5</v>
      </c>
      <c r="D18" s="68">
        <f>SUM(D20:D23)</f>
        <v>1.5</v>
      </c>
      <c r="E18" s="127">
        <f>(C18-D18)</f>
        <v>0</v>
      </c>
      <c r="F18" s="199"/>
      <c r="G18" s="200"/>
      <c r="H18" s="200"/>
      <c r="I18" s="200"/>
      <c r="J18" s="200"/>
      <c r="K18" s="200"/>
      <c r="L18" s="200"/>
      <c r="M18" s="200"/>
      <c r="N18" s="200"/>
      <c r="O18" s="200"/>
      <c r="P18" s="200"/>
      <c r="Q18" s="200"/>
      <c r="R18" s="200"/>
      <c r="S18" s="200"/>
      <c r="T18" s="200"/>
      <c r="U18" s="200"/>
      <c r="V18" s="200"/>
      <c r="W18" s="200"/>
      <c r="X18" s="200"/>
      <c r="Y18" s="200"/>
      <c r="Z18" s="200"/>
      <c r="AA18" s="200"/>
      <c r="AB18" s="200"/>
      <c r="AC18" s="200"/>
      <c r="AD18" s="200"/>
      <c r="AE18" s="200"/>
      <c r="AF18" s="200"/>
      <c r="AG18" s="200"/>
      <c r="AH18" s="200"/>
      <c r="AI18" s="200"/>
      <c r="AJ18" s="200"/>
      <c r="AK18" s="200"/>
      <c r="AL18" s="200"/>
      <c r="AM18" s="200"/>
      <c r="AN18" s="200"/>
      <c r="AO18" s="200"/>
      <c r="AP18" s="200"/>
      <c r="AQ18" s="200"/>
      <c r="AR18" s="200"/>
      <c r="AS18" s="200"/>
      <c r="AT18" s="200"/>
      <c r="AU18" s="200"/>
      <c r="AV18" s="200"/>
      <c r="AW18" s="200"/>
      <c r="AX18" s="200"/>
      <c r="AY18" s="200"/>
      <c r="AZ18" s="200"/>
      <c r="BA18" s="200"/>
      <c r="BB18" s="201"/>
    </row>
    <row r="19" spans="2:54" ht="15" customHeight="1" thickBot="1" x14ac:dyDescent="0.3">
      <c r="B19" s="126"/>
      <c r="C19" s="70"/>
      <c r="D19" s="70"/>
      <c r="E19" s="128"/>
      <c r="F19" s="202"/>
      <c r="G19" s="203"/>
      <c r="H19" s="203"/>
      <c r="I19" s="203"/>
      <c r="J19" s="203"/>
      <c r="K19" s="203"/>
      <c r="L19" s="203"/>
      <c r="M19" s="203"/>
      <c r="N19" s="203"/>
      <c r="O19" s="203"/>
      <c r="P19" s="203"/>
      <c r="Q19" s="203"/>
      <c r="R19" s="203"/>
      <c r="S19" s="203"/>
      <c r="T19" s="203"/>
      <c r="U19" s="203"/>
      <c r="V19" s="203"/>
      <c r="W19" s="203"/>
      <c r="X19" s="203"/>
      <c r="Y19" s="203"/>
      <c r="Z19" s="203"/>
      <c r="AA19" s="203"/>
      <c r="AB19" s="203"/>
      <c r="AC19" s="203"/>
      <c r="AD19" s="203"/>
      <c r="AE19" s="203"/>
      <c r="AF19" s="203"/>
      <c r="AG19" s="203"/>
      <c r="AH19" s="203"/>
      <c r="AI19" s="203"/>
      <c r="AJ19" s="203"/>
      <c r="AK19" s="203"/>
      <c r="AL19" s="203"/>
      <c r="AM19" s="203"/>
      <c r="AN19" s="203"/>
      <c r="AO19" s="203"/>
      <c r="AP19" s="203"/>
      <c r="AQ19" s="203"/>
      <c r="AR19" s="203"/>
      <c r="AS19" s="203"/>
      <c r="AT19" s="203"/>
      <c r="AU19" s="203"/>
      <c r="AV19" s="203"/>
      <c r="AW19" s="203"/>
      <c r="AX19" s="203"/>
      <c r="AY19" s="203"/>
      <c r="AZ19" s="203"/>
      <c r="BA19" s="203"/>
      <c r="BB19" s="204"/>
    </row>
    <row r="20" spans="2:54" ht="15" customHeight="1" x14ac:dyDescent="0.25">
      <c r="B20" s="121" t="s">
        <v>24</v>
      </c>
      <c r="C20" s="102">
        <f>SUM(F20:BB20)</f>
        <v>0.75</v>
      </c>
      <c r="D20" s="102">
        <f>SUM(F21:BB21)</f>
        <v>0.75</v>
      </c>
      <c r="E20" s="65">
        <f>(AVERAGE(C20,C21)-AVERAGE(D20,D21) )</f>
        <v>0</v>
      </c>
      <c r="F20" s="186"/>
      <c r="G20" s="183"/>
      <c r="H20" s="183"/>
      <c r="I20" s="205">
        <v>0.75</v>
      </c>
      <c r="J20" s="184"/>
      <c r="K20" s="186"/>
      <c r="L20" s="183"/>
      <c r="M20" s="183"/>
      <c r="N20" s="183"/>
      <c r="O20" s="184"/>
      <c r="P20" s="186"/>
      <c r="Q20" s="183"/>
      <c r="R20" s="186"/>
      <c r="S20" s="183"/>
      <c r="T20" s="183"/>
      <c r="U20" s="183"/>
      <c r="V20" s="184"/>
      <c r="W20" s="186"/>
      <c r="X20" s="183"/>
      <c r="Y20" s="183"/>
      <c r="Z20" s="183"/>
      <c r="AA20" s="184"/>
      <c r="AB20" s="186"/>
      <c r="AC20" s="183"/>
      <c r="AD20" s="183"/>
      <c r="AE20" s="183"/>
      <c r="AF20" s="184"/>
      <c r="AG20" s="186"/>
      <c r="AH20" s="183"/>
      <c r="AI20" s="183"/>
      <c r="AJ20" s="183"/>
      <c r="AK20" s="184"/>
      <c r="AL20" s="186"/>
      <c r="AM20" s="183"/>
      <c r="AN20" s="186"/>
      <c r="AO20" s="183"/>
      <c r="AP20" s="183"/>
      <c r="AQ20" s="183"/>
      <c r="AR20" s="184"/>
      <c r="AS20" s="186"/>
      <c r="AT20" s="183"/>
      <c r="AU20" s="183"/>
      <c r="AV20" s="183"/>
      <c r="AW20" s="184"/>
      <c r="AX20" s="186"/>
      <c r="AY20" s="183"/>
      <c r="AZ20" s="183"/>
      <c r="BA20" s="183"/>
      <c r="BB20" s="184"/>
    </row>
    <row r="21" spans="2:54" ht="15" customHeight="1" x14ac:dyDescent="0.25">
      <c r="B21" s="122"/>
      <c r="C21" s="45"/>
      <c r="D21" s="45"/>
      <c r="E21" s="47"/>
      <c r="F21" s="191"/>
      <c r="G21" s="188"/>
      <c r="H21" s="192">
        <v>0.5</v>
      </c>
      <c r="I21" s="198">
        <v>0.25</v>
      </c>
      <c r="J21" s="189"/>
      <c r="K21" s="191"/>
      <c r="L21" s="188"/>
      <c r="M21" s="188"/>
      <c r="N21" s="188"/>
      <c r="O21" s="189"/>
      <c r="P21" s="191"/>
      <c r="Q21" s="188"/>
      <c r="R21" s="191"/>
      <c r="S21" s="188"/>
      <c r="T21" s="188"/>
      <c r="U21" s="188"/>
      <c r="V21" s="189"/>
      <c r="W21" s="191"/>
      <c r="X21" s="188"/>
      <c r="Y21" s="188"/>
      <c r="Z21" s="188"/>
      <c r="AA21" s="189"/>
      <c r="AB21" s="191"/>
      <c r="AC21" s="188"/>
      <c r="AD21" s="188"/>
      <c r="AE21" s="188"/>
      <c r="AF21" s="189"/>
      <c r="AG21" s="191"/>
      <c r="AH21" s="188"/>
      <c r="AI21" s="188"/>
      <c r="AJ21" s="188"/>
      <c r="AK21" s="189"/>
      <c r="AL21" s="191"/>
      <c r="AM21" s="188"/>
      <c r="AN21" s="191"/>
      <c r="AO21" s="188"/>
      <c r="AP21" s="188"/>
      <c r="AQ21" s="188"/>
      <c r="AR21" s="189"/>
      <c r="AS21" s="191"/>
      <c r="AT21" s="188"/>
      <c r="AU21" s="188"/>
      <c r="AV21" s="188"/>
      <c r="AW21" s="189"/>
      <c r="AX21" s="191"/>
      <c r="AY21" s="188"/>
      <c r="AZ21" s="188"/>
      <c r="BA21" s="188"/>
      <c r="BB21" s="189"/>
    </row>
    <row r="22" spans="2:54" ht="15" customHeight="1" x14ac:dyDescent="0.25">
      <c r="B22" s="113" t="s">
        <v>25</v>
      </c>
      <c r="C22" s="44">
        <f>SUM(F22:BB22)</f>
        <v>0.75</v>
      </c>
      <c r="D22" s="44">
        <f>SUM(F23:BB23)</f>
        <v>0.75</v>
      </c>
      <c r="E22" s="46">
        <f>(AVERAGE(C22,C23)-AVERAGE(D22,D23) )</f>
        <v>0</v>
      </c>
      <c r="F22" s="193"/>
      <c r="G22" s="195"/>
      <c r="H22" s="195"/>
      <c r="I22" s="205">
        <v>0.75</v>
      </c>
      <c r="J22" s="196"/>
      <c r="K22" s="193"/>
      <c r="L22" s="195"/>
      <c r="M22" s="195"/>
      <c r="N22" s="195"/>
      <c r="O22" s="196"/>
      <c r="P22" s="193"/>
      <c r="Q22" s="195"/>
      <c r="R22" s="193"/>
      <c r="S22" s="195"/>
      <c r="T22" s="195"/>
      <c r="U22" s="195"/>
      <c r="V22" s="196"/>
      <c r="W22" s="193"/>
      <c r="X22" s="195"/>
      <c r="Y22" s="195"/>
      <c r="Z22" s="195"/>
      <c r="AA22" s="196"/>
      <c r="AB22" s="193"/>
      <c r="AC22" s="195"/>
      <c r="AD22" s="195"/>
      <c r="AE22" s="195"/>
      <c r="AF22" s="196"/>
      <c r="AG22" s="193"/>
      <c r="AH22" s="195"/>
      <c r="AI22" s="195"/>
      <c r="AJ22" s="195"/>
      <c r="AK22" s="196"/>
      <c r="AL22" s="193"/>
      <c r="AM22" s="195"/>
      <c r="AN22" s="193"/>
      <c r="AO22" s="195"/>
      <c r="AP22" s="195"/>
      <c r="AQ22" s="195"/>
      <c r="AR22" s="196"/>
      <c r="AS22" s="193"/>
      <c r="AT22" s="195"/>
      <c r="AU22" s="195"/>
      <c r="AV22" s="195"/>
      <c r="AW22" s="196"/>
      <c r="AX22" s="193"/>
      <c r="AY22" s="195"/>
      <c r="AZ22" s="195"/>
      <c r="BA22" s="195"/>
      <c r="BB22" s="196"/>
    </row>
    <row r="23" spans="2:54" ht="15" customHeight="1" thickBot="1" x14ac:dyDescent="0.3">
      <c r="B23" s="114"/>
      <c r="C23" s="56"/>
      <c r="D23" s="56"/>
      <c r="E23" s="57"/>
      <c r="F23" s="186"/>
      <c r="G23" s="183"/>
      <c r="H23" s="183"/>
      <c r="I23" s="183">
        <v>0.75</v>
      </c>
      <c r="J23" s="184"/>
      <c r="K23" s="186"/>
      <c r="L23" s="183"/>
      <c r="M23" s="183"/>
      <c r="N23" s="183"/>
      <c r="O23" s="184"/>
      <c r="P23" s="186"/>
      <c r="Q23" s="183"/>
      <c r="R23" s="186"/>
      <c r="S23" s="183"/>
      <c r="T23" s="183"/>
      <c r="U23" s="183"/>
      <c r="V23" s="184"/>
      <c r="W23" s="186"/>
      <c r="X23" s="183"/>
      <c r="Y23" s="183"/>
      <c r="Z23" s="183"/>
      <c r="AA23" s="184"/>
      <c r="AB23" s="186"/>
      <c r="AC23" s="183"/>
      <c r="AD23" s="183"/>
      <c r="AE23" s="183"/>
      <c r="AF23" s="184"/>
      <c r="AG23" s="186"/>
      <c r="AH23" s="183"/>
      <c r="AI23" s="183"/>
      <c r="AJ23" s="183"/>
      <c r="AK23" s="184"/>
      <c r="AL23" s="186"/>
      <c r="AM23" s="183"/>
      <c r="AN23" s="186"/>
      <c r="AO23" s="183"/>
      <c r="AP23" s="183"/>
      <c r="AQ23" s="183"/>
      <c r="AR23" s="184"/>
      <c r="AS23" s="186"/>
      <c r="AT23" s="183"/>
      <c r="AU23" s="183"/>
      <c r="AV23" s="183"/>
      <c r="AW23" s="184"/>
      <c r="AX23" s="186"/>
      <c r="AY23" s="183"/>
      <c r="AZ23" s="183"/>
      <c r="BA23" s="183"/>
      <c r="BB23" s="184"/>
    </row>
    <row r="24" spans="2:54" ht="15" customHeight="1" x14ac:dyDescent="0.25">
      <c r="B24" s="115" t="s">
        <v>11</v>
      </c>
      <c r="C24" s="117">
        <f>SUM(C26:C31)</f>
        <v>3</v>
      </c>
      <c r="D24" s="117">
        <f>SUM(D26:D31)</f>
        <v>4.75</v>
      </c>
      <c r="E24" s="119">
        <f>(C24-D24)</f>
        <v>-1.75</v>
      </c>
      <c r="F24" s="206"/>
      <c r="G24" s="207"/>
      <c r="H24" s="207"/>
      <c r="I24" s="207"/>
      <c r="J24" s="207"/>
      <c r="K24" s="207"/>
      <c r="L24" s="207"/>
      <c r="M24" s="207"/>
      <c r="N24" s="207"/>
      <c r="O24" s="207"/>
      <c r="P24" s="207"/>
      <c r="Q24" s="207"/>
      <c r="R24" s="207"/>
      <c r="S24" s="207"/>
      <c r="T24" s="207"/>
      <c r="U24" s="207"/>
      <c r="V24" s="207"/>
      <c r="W24" s="207"/>
      <c r="X24" s="207"/>
      <c r="Y24" s="207"/>
      <c r="Z24" s="207"/>
      <c r="AA24" s="207"/>
      <c r="AB24" s="207"/>
      <c r="AC24" s="207"/>
      <c r="AD24" s="207"/>
      <c r="AE24" s="207"/>
      <c r="AF24" s="207"/>
      <c r="AG24" s="207"/>
      <c r="AH24" s="207"/>
      <c r="AI24" s="207"/>
      <c r="AJ24" s="207"/>
      <c r="AK24" s="207"/>
      <c r="AL24" s="207"/>
      <c r="AM24" s="207"/>
      <c r="AN24" s="207"/>
      <c r="AO24" s="207"/>
      <c r="AP24" s="207"/>
      <c r="AQ24" s="207"/>
      <c r="AR24" s="207"/>
      <c r="AS24" s="207"/>
      <c r="AT24" s="207"/>
      <c r="AU24" s="207"/>
      <c r="AV24" s="207"/>
      <c r="AW24" s="207"/>
      <c r="AX24" s="207"/>
      <c r="AY24" s="207"/>
      <c r="AZ24" s="207"/>
      <c r="BA24" s="207"/>
      <c r="BB24" s="208"/>
    </row>
    <row r="25" spans="2:54" ht="15" customHeight="1" thickBot="1" x14ac:dyDescent="0.3">
      <c r="B25" s="116"/>
      <c r="C25" s="118"/>
      <c r="D25" s="118"/>
      <c r="E25" s="120"/>
      <c r="F25" s="209"/>
      <c r="G25" s="210"/>
      <c r="H25" s="210"/>
      <c r="I25" s="210"/>
      <c r="J25" s="210"/>
      <c r="K25" s="210"/>
      <c r="L25" s="210"/>
      <c r="M25" s="210"/>
      <c r="N25" s="210"/>
      <c r="O25" s="210"/>
      <c r="P25" s="210"/>
      <c r="Q25" s="210"/>
      <c r="R25" s="210"/>
      <c r="S25" s="210"/>
      <c r="T25" s="210"/>
      <c r="U25" s="210"/>
      <c r="V25" s="210"/>
      <c r="W25" s="210"/>
      <c r="X25" s="210"/>
      <c r="Y25" s="210"/>
      <c r="Z25" s="210"/>
      <c r="AA25" s="210"/>
      <c r="AB25" s="210"/>
      <c r="AC25" s="210"/>
      <c r="AD25" s="210"/>
      <c r="AE25" s="210"/>
      <c r="AF25" s="210"/>
      <c r="AG25" s="210"/>
      <c r="AH25" s="210"/>
      <c r="AI25" s="210"/>
      <c r="AJ25" s="210"/>
      <c r="AK25" s="210"/>
      <c r="AL25" s="210"/>
      <c r="AM25" s="210"/>
      <c r="AN25" s="210"/>
      <c r="AO25" s="210"/>
      <c r="AP25" s="210"/>
      <c r="AQ25" s="210"/>
      <c r="AR25" s="210"/>
      <c r="AS25" s="210"/>
      <c r="AT25" s="210"/>
      <c r="AU25" s="210"/>
      <c r="AV25" s="210"/>
      <c r="AW25" s="210"/>
      <c r="AX25" s="210"/>
      <c r="AY25" s="210"/>
      <c r="AZ25" s="210"/>
      <c r="BA25" s="210"/>
      <c r="BB25" s="211"/>
    </row>
    <row r="26" spans="2:54" ht="15" customHeight="1" x14ac:dyDescent="0.25">
      <c r="B26" s="112" t="s">
        <v>26</v>
      </c>
      <c r="C26" s="102">
        <f>SUM(F26:BB26)</f>
        <v>1.5</v>
      </c>
      <c r="D26" s="102">
        <f>SUM(F27:BB27)</f>
        <v>2.5</v>
      </c>
      <c r="E26" s="65">
        <f>(AVERAGE(C26,C27)-AVERAGE(D26,D27) )</f>
        <v>-1</v>
      </c>
      <c r="F26" s="212"/>
      <c r="G26" s="213"/>
      <c r="H26" s="213"/>
      <c r="I26" s="213"/>
      <c r="J26" s="214"/>
      <c r="K26" s="182">
        <v>1.5</v>
      </c>
      <c r="L26" s="183"/>
      <c r="M26" s="183"/>
      <c r="N26" s="183"/>
      <c r="O26" s="184"/>
      <c r="P26" s="186"/>
      <c r="Q26" s="183"/>
      <c r="R26" s="186"/>
      <c r="S26" s="183"/>
      <c r="T26" s="183"/>
      <c r="U26" s="183"/>
      <c r="V26" s="184"/>
      <c r="W26" s="186"/>
      <c r="X26" s="183"/>
      <c r="Y26" s="183"/>
      <c r="Z26" s="183"/>
      <c r="AA26" s="184"/>
      <c r="AB26" s="186"/>
      <c r="AC26" s="183"/>
      <c r="AD26" s="183"/>
      <c r="AE26" s="183"/>
      <c r="AF26" s="184"/>
      <c r="AG26" s="186"/>
      <c r="AH26" s="183"/>
      <c r="AI26" s="183"/>
      <c r="AJ26" s="183"/>
      <c r="AK26" s="184"/>
      <c r="AL26" s="186"/>
      <c r="AM26" s="183"/>
      <c r="AN26" s="186"/>
      <c r="AO26" s="183"/>
      <c r="AP26" s="183"/>
      <c r="AQ26" s="183"/>
      <c r="AR26" s="184"/>
      <c r="AS26" s="186"/>
      <c r="AT26" s="183"/>
      <c r="AU26" s="183"/>
      <c r="AV26" s="183"/>
      <c r="AW26" s="184"/>
      <c r="AX26" s="186"/>
      <c r="AY26" s="183"/>
      <c r="AZ26" s="183"/>
      <c r="BA26" s="183"/>
      <c r="BB26" s="184"/>
    </row>
    <row r="27" spans="2:54" ht="15" customHeight="1" x14ac:dyDescent="0.25">
      <c r="B27" s="110"/>
      <c r="C27" s="45"/>
      <c r="D27" s="45"/>
      <c r="E27" s="47"/>
      <c r="F27" s="215"/>
      <c r="G27" s="216"/>
      <c r="H27" s="216"/>
      <c r="I27" s="217">
        <v>0.25</v>
      </c>
      <c r="J27" s="218"/>
      <c r="K27" s="197">
        <v>0.75</v>
      </c>
      <c r="L27" s="192">
        <v>1.5</v>
      </c>
      <c r="M27" s="188"/>
      <c r="N27" s="188"/>
      <c r="O27" s="189"/>
      <c r="P27" s="191"/>
      <c r="Q27" s="188"/>
      <c r="R27" s="191"/>
      <c r="S27" s="188"/>
      <c r="T27" s="188"/>
      <c r="U27" s="188"/>
      <c r="V27" s="189"/>
      <c r="W27" s="191"/>
      <c r="X27" s="188"/>
      <c r="Y27" s="188"/>
      <c r="Z27" s="188"/>
      <c r="AA27" s="189"/>
      <c r="AB27" s="191"/>
      <c r="AC27" s="188"/>
      <c r="AD27" s="188"/>
      <c r="AE27" s="188"/>
      <c r="AF27" s="189"/>
      <c r="AG27" s="191"/>
      <c r="AH27" s="188"/>
      <c r="AI27" s="188"/>
      <c r="AJ27" s="188"/>
      <c r="AK27" s="189"/>
      <c r="AL27" s="191"/>
      <c r="AM27" s="188"/>
      <c r="AN27" s="191"/>
      <c r="AO27" s="188"/>
      <c r="AP27" s="188"/>
      <c r="AQ27" s="188"/>
      <c r="AR27" s="189"/>
      <c r="AS27" s="191"/>
      <c r="AT27" s="188"/>
      <c r="AU27" s="188"/>
      <c r="AV27" s="188"/>
      <c r="AW27" s="189"/>
      <c r="AX27" s="191"/>
      <c r="AY27" s="188"/>
      <c r="AZ27" s="188"/>
      <c r="BA27" s="188"/>
      <c r="BB27" s="189"/>
    </row>
    <row r="28" spans="2:54" ht="15" customHeight="1" x14ac:dyDescent="0.25">
      <c r="B28" s="109" t="s">
        <v>27</v>
      </c>
      <c r="C28" s="44">
        <f>SUM(F28:BB28)</f>
        <v>0.5</v>
      </c>
      <c r="D28" s="44">
        <f>SUM(F29:BB29)</f>
        <v>0.5</v>
      </c>
      <c r="E28" s="46">
        <f>(AVERAGE(C28,C29)-AVERAGE(D28,D29) )</f>
        <v>0</v>
      </c>
      <c r="F28" s="212"/>
      <c r="G28" s="213"/>
      <c r="H28" s="213"/>
      <c r="I28" s="213"/>
      <c r="J28" s="214"/>
      <c r="K28" s="193"/>
      <c r="L28" s="205">
        <v>0.5</v>
      </c>
      <c r="M28" s="195"/>
      <c r="N28" s="195"/>
      <c r="O28" s="196"/>
      <c r="P28" s="193"/>
      <c r="Q28" s="183"/>
      <c r="R28" s="193"/>
      <c r="S28" s="183"/>
      <c r="T28" s="195"/>
      <c r="U28" s="195"/>
      <c r="V28" s="196"/>
      <c r="W28" s="193"/>
      <c r="X28" s="183"/>
      <c r="Y28" s="195"/>
      <c r="Z28" s="195"/>
      <c r="AA28" s="196"/>
      <c r="AB28" s="193"/>
      <c r="AC28" s="183"/>
      <c r="AD28" s="195"/>
      <c r="AE28" s="195"/>
      <c r="AF28" s="196"/>
      <c r="AG28" s="193"/>
      <c r="AH28" s="183"/>
      <c r="AI28" s="195"/>
      <c r="AJ28" s="195"/>
      <c r="AK28" s="196"/>
      <c r="AL28" s="193"/>
      <c r="AM28" s="183"/>
      <c r="AN28" s="193"/>
      <c r="AO28" s="183"/>
      <c r="AP28" s="195"/>
      <c r="AQ28" s="195"/>
      <c r="AR28" s="196"/>
      <c r="AS28" s="193"/>
      <c r="AT28" s="183"/>
      <c r="AU28" s="195"/>
      <c r="AV28" s="195"/>
      <c r="AW28" s="196"/>
      <c r="AX28" s="193"/>
      <c r="AY28" s="183"/>
      <c r="AZ28" s="195"/>
      <c r="BA28" s="195"/>
      <c r="BB28" s="196"/>
    </row>
    <row r="29" spans="2:54" ht="15" customHeight="1" x14ac:dyDescent="0.25">
      <c r="B29" s="110"/>
      <c r="C29" s="45"/>
      <c r="D29" s="45"/>
      <c r="E29" s="47"/>
      <c r="F29" s="215"/>
      <c r="G29" s="216"/>
      <c r="H29" s="216"/>
      <c r="I29" s="216"/>
      <c r="J29" s="218"/>
      <c r="K29" s="191"/>
      <c r="L29" s="188"/>
      <c r="M29" s="192">
        <v>0.5</v>
      </c>
      <c r="N29" s="188"/>
      <c r="O29" s="189"/>
      <c r="P29" s="191"/>
      <c r="Q29" s="188"/>
      <c r="R29" s="191"/>
      <c r="S29" s="188"/>
      <c r="T29" s="188"/>
      <c r="U29" s="188"/>
      <c r="V29" s="189"/>
      <c r="W29" s="191"/>
      <c r="X29" s="188"/>
      <c r="Y29" s="188"/>
      <c r="Z29" s="188"/>
      <c r="AA29" s="189"/>
      <c r="AB29" s="191"/>
      <c r="AC29" s="188"/>
      <c r="AD29" s="188"/>
      <c r="AE29" s="188"/>
      <c r="AF29" s="189"/>
      <c r="AG29" s="191"/>
      <c r="AH29" s="188"/>
      <c r="AI29" s="188"/>
      <c r="AJ29" s="188"/>
      <c r="AK29" s="189"/>
      <c r="AL29" s="191"/>
      <c r="AM29" s="188"/>
      <c r="AN29" s="191"/>
      <c r="AO29" s="188"/>
      <c r="AP29" s="188"/>
      <c r="AQ29" s="188"/>
      <c r="AR29" s="189"/>
      <c r="AS29" s="191"/>
      <c r="AT29" s="188"/>
      <c r="AU29" s="188"/>
      <c r="AV29" s="188"/>
      <c r="AW29" s="189"/>
      <c r="AX29" s="191"/>
      <c r="AY29" s="188"/>
      <c r="AZ29" s="188"/>
      <c r="BA29" s="188"/>
      <c r="BB29" s="189"/>
    </row>
    <row r="30" spans="2:54" ht="15" customHeight="1" x14ac:dyDescent="0.25">
      <c r="B30" s="109" t="s">
        <v>28</v>
      </c>
      <c r="C30" s="44">
        <f>SUM(F30:BB30)</f>
        <v>1</v>
      </c>
      <c r="D30" s="44">
        <f>SUM(F31:BB31)</f>
        <v>1.75</v>
      </c>
      <c r="E30" s="46">
        <f>(AVERAGE(C30,C31)-AVERAGE(D30,D31) )</f>
        <v>-0.75</v>
      </c>
      <c r="F30" s="212"/>
      <c r="G30" s="213"/>
      <c r="H30" s="213"/>
      <c r="I30" s="213"/>
      <c r="J30" s="214"/>
      <c r="K30" s="193"/>
      <c r="L30" s="205">
        <v>1</v>
      </c>
      <c r="M30" s="195"/>
      <c r="N30" s="195"/>
      <c r="O30" s="196"/>
      <c r="P30" s="193"/>
      <c r="Q30" s="195"/>
      <c r="R30" s="193"/>
      <c r="S30" s="195"/>
      <c r="T30" s="195"/>
      <c r="U30" s="195"/>
      <c r="V30" s="196"/>
      <c r="W30" s="193"/>
      <c r="X30" s="195"/>
      <c r="Y30" s="195"/>
      <c r="Z30" s="195"/>
      <c r="AA30" s="196"/>
      <c r="AB30" s="193"/>
      <c r="AC30" s="195"/>
      <c r="AD30" s="195"/>
      <c r="AE30" s="195"/>
      <c r="AF30" s="196"/>
      <c r="AG30" s="193"/>
      <c r="AH30" s="195"/>
      <c r="AI30" s="195"/>
      <c r="AJ30" s="195"/>
      <c r="AK30" s="196"/>
      <c r="AL30" s="193"/>
      <c r="AM30" s="195"/>
      <c r="AN30" s="193"/>
      <c r="AO30" s="195"/>
      <c r="AP30" s="195"/>
      <c r="AQ30" s="195"/>
      <c r="AR30" s="196"/>
      <c r="AS30" s="193"/>
      <c r="AT30" s="195"/>
      <c r="AU30" s="195"/>
      <c r="AV30" s="195"/>
      <c r="AW30" s="196"/>
      <c r="AX30" s="193"/>
      <c r="AY30" s="195"/>
      <c r="AZ30" s="195"/>
      <c r="BA30" s="195"/>
      <c r="BB30" s="196"/>
    </row>
    <row r="31" spans="2:54" ht="15" customHeight="1" thickBot="1" x14ac:dyDescent="0.3">
      <c r="B31" s="111"/>
      <c r="C31" s="56"/>
      <c r="D31" s="56"/>
      <c r="E31" s="57"/>
      <c r="F31" s="212"/>
      <c r="G31" s="213"/>
      <c r="H31" s="213"/>
      <c r="I31" s="213"/>
      <c r="J31" s="214"/>
      <c r="K31" s="186"/>
      <c r="L31" s="183"/>
      <c r="M31" s="198">
        <v>0.5</v>
      </c>
      <c r="N31" s="198">
        <v>1</v>
      </c>
      <c r="O31" s="184"/>
      <c r="P31" s="190">
        <v>0.25</v>
      </c>
      <c r="Q31" s="183"/>
      <c r="R31" s="186"/>
      <c r="S31" s="183"/>
      <c r="T31" s="183"/>
      <c r="U31" s="183"/>
      <c r="V31" s="184"/>
      <c r="W31" s="186"/>
      <c r="X31" s="183"/>
      <c r="Y31" s="183"/>
      <c r="Z31" s="183"/>
      <c r="AA31" s="184"/>
      <c r="AB31" s="186"/>
      <c r="AC31" s="183"/>
      <c r="AD31" s="183"/>
      <c r="AE31" s="183"/>
      <c r="AF31" s="184"/>
      <c r="AG31" s="186"/>
      <c r="AH31" s="183"/>
      <c r="AI31" s="183"/>
      <c r="AJ31" s="183"/>
      <c r="AK31" s="184"/>
      <c r="AL31" s="186"/>
      <c r="AM31" s="183"/>
      <c r="AN31" s="186"/>
      <c r="AO31" s="183"/>
      <c r="AP31" s="183"/>
      <c r="AQ31" s="183"/>
      <c r="AR31" s="184"/>
      <c r="AS31" s="186"/>
      <c r="AT31" s="183"/>
      <c r="AU31" s="183"/>
      <c r="AV31" s="183"/>
      <c r="AW31" s="184"/>
      <c r="AX31" s="186"/>
      <c r="AY31" s="183"/>
      <c r="AZ31" s="183"/>
      <c r="BA31" s="183"/>
      <c r="BB31" s="184"/>
    </row>
    <row r="32" spans="2:54" ht="15" customHeight="1" x14ac:dyDescent="0.25">
      <c r="B32" s="103" t="s">
        <v>12</v>
      </c>
      <c r="C32" s="105">
        <f>SUM(C34:C45)</f>
        <v>4.5</v>
      </c>
      <c r="D32" s="105">
        <f>SUM(D34:D45)</f>
        <v>7.25</v>
      </c>
      <c r="E32" s="107">
        <f>(C32-D32)</f>
        <v>-2.75</v>
      </c>
      <c r="F32" s="219"/>
      <c r="G32" s="220"/>
      <c r="H32" s="220"/>
      <c r="I32" s="220"/>
      <c r="J32" s="220"/>
      <c r="K32" s="220"/>
      <c r="L32" s="220"/>
      <c r="M32" s="220"/>
      <c r="N32" s="220"/>
      <c r="O32" s="220"/>
      <c r="P32" s="220"/>
      <c r="Q32" s="220"/>
      <c r="R32" s="220"/>
      <c r="S32" s="220"/>
      <c r="T32" s="220"/>
      <c r="U32" s="220"/>
      <c r="V32" s="220"/>
      <c r="W32" s="220"/>
      <c r="X32" s="220"/>
      <c r="Y32" s="220"/>
      <c r="Z32" s="220"/>
      <c r="AA32" s="220"/>
      <c r="AB32" s="220"/>
      <c r="AC32" s="220"/>
      <c r="AD32" s="220"/>
      <c r="AE32" s="220"/>
      <c r="AF32" s="220"/>
      <c r="AG32" s="220"/>
      <c r="AH32" s="220"/>
      <c r="AI32" s="220"/>
      <c r="AJ32" s="220"/>
      <c r="AK32" s="220"/>
      <c r="AL32" s="220"/>
      <c r="AM32" s="220"/>
      <c r="AN32" s="220"/>
      <c r="AO32" s="220"/>
      <c r="AP32" s="220"/>
      <c r="AQ32" s="220"/>
      <c r="AR32" s="220"/>
      <c r="AS32" s="220"/>
      <c r="AT32" s="220"/>
      <c r="AU32" s="220"/>
      <c r="AV32" s="220"/>
      <c r="AW32" s="220"/>
      <c r="AX32" s="220"/>
      <c r="AY32" s="220"/>
      <c r="AZ32" s="220"/>
      <c r="BA32" s="220"/>
      <c r="BB32" s="221"/>
    </row>
    <row r="33" spans="2:60" ht="15" customHeight="1" thickBot="1" x14ac:dyDescent="0.3">
      <c r="B33" s="104"/>
      <c r="C33" s="106"/>
      <c r="D33" s="106"/>
      <c r="E33" s="108"/>
      <c r="F33" s="222"/>
      <c r="G33" s="223"/>
      <c r="H33" s="223"/>
      <c r="I33" s="223"/>
      <c r="J33" s="223"/>
      <c r="K33" s="223"/>
      <c r="L33" s="223"/>
      <c r="M33" s="223"/>
      <c r="N33" s="223"/>
      <c r="O33" s="223"/>
      <c r="P33" s="223"/>
      <c r="Q33" s="223"/>
      <c r="R33" s="223"/>
      <c r="S33" s="223"/>
      <c r="T33" s="223"/>
      <c r="U33" s="223"/>
      <c r="V33" s="223"/>
      <c r="W33" s="223"/>
      <c r="X33" s="223"/>
      <c r="Y33" s="223"/>
      <c r="Z33" s="223"/>
      <c r="AA33" s="223"/>
      <c r="AB33" s="223"/>
      <c r="AC33" s="223"/>
      <c r="AD33" s="223"/>
      <c r="AE33" s="223"/>
      <c r="AF33" s="223"/>
      <c r="AG33" s="223"/>
      <c r="AH33" s="223"/>
      <c r="AI33" s="223"/>
      <c r="AJ33" s="223"/>
      <c r="AK33" s="223"/>
      <c r="AL33" s="223"/>
      <c r="AM33" s="223"/>
      <c r="AN33" s="223"/>
      <c r="AO33" s="223"/>
      <c r="AP33" s="223"/>
      <c r="AQ33" s="223"/>
      <c r="AR33" s="223"/>
      <c r="AS33" s="223"/>
      <c r="AT33" s="223"/>
      <c r="AU33" s="223"/>
      <c r="AV33" s="223"/>
      <c r="AW33" s="223"/>
      <c r="AX33" s="223"/>
      <c r="AY33" s="223"/>
      <c r="AZ33" s="223"/>
      <c r="BA33" s="223"/>
      <c r="BB33" s="224"/>
    </row>
    <row r="34" spans="2:60" ht="15" customHeight="1" x14ac:dyDescent="0.25">
      <c r="B34" s="101" t="s">
        <v>29</v>
      </c>
      <c r="C34" s="102">
        <f>SUM(F34:BB34)</f>
        <v>1</v>
      </c>
      <c r="D34" s="102">
        <f>SUM(F35:BB35)</f>
        <v>1</v>
      </c>
      <c r="E34" s="65">
        <f>(AVERAGE(C34,C35)-AVERAGE(D34,D35) )</f>
        <v>0</v>
      </c>
      <c r="F34" s="186"/>
      <c r="G34" s="183"/>
      <c r="H34" s="183"/>
      <c r="I34" s="183"/>
      <c r="J34" s="184"/>
      <c r="K34" s="186"/>
      <c r="L34" s="183"/>
      <c r="M34" s="205">
        <v>1</v>
      </c>
      <c r="N34" s="183"/>
      <c r="O34" s="184"/>
      <c r="P34" s="186"/>
      <c r="Q34" s="183"/>
      <c r="R34" s="186"/>
      <c r="S34" s="183"/>
      <c r="T34" s="183"/>
      <c r="U34" s="183"/>
      <c r="V34" s="184"/>
      <c r="W34" s="186"/>
      <c r="X34" s="183"/>
      <c r="Y34" s="183"/>
      <c r="Z34" s="183"/>
      <c r="AA34" s="184"/>
      <c r="AB34" s="186"/>
      <c r="AC34" s="183"/>
      <c r="AD34" s="183"/>
      <c r="AE34" s="183"/>
      <c r="AF34" s="184"/>
      <c r="AG34" s="186"/>
      <c r="AH34" s="183"/>
      <c r="AI34" s="183"/>
      <c r="AJ34" s="183"/>
      <c r="AK34" s="184"/>
      <c r="AL34" s="186"/>
      <c r="AM34" s="183"/>
      <c r="AN34" s="186"/>
      <c r="AO34" s="183"/>
      <c r="AP34" s="183"/>
      <c r="AQ34" s="183"/>
      <c r="AR34" s="184"/>
      <c r="AS34" s="186"/>
      <c r="AT34" s="183"/>
      <c r="AU34" s="183"/>
      <c r="AV34" s="183"/>
      <c r="AW34" s="184"/>
      <c r="AX34" s="186"/>
      <c r="AY34" s="183"/>
      <c r="AZ34" s="183"/>
      <c r="BA34" s="183"/>
      <c r="BB34" s="184"/>
    </row>
    <row r="35" spans="2:60" ht="15" customHeight="1" x14ac:dyDescent="0.25">
      <c r="B35" s="94"/>
      <c r="C35" s="45"/>
      <c r="D35" s="45"/>
      <c r="E35" s="47"/>
      <c r="F35" s="191"/>
      <c r="G35" s="188"/>
      <c r="H35" s="188"/>
      <c r="I35" s="188"/>
      <c r="J35" s="189"/>
      <c r="K35" s="191"/>
      <c r="L35" s="188"/>
      <c r="M35" s="192">
        <v>0.75</v>
      </c>
      <c r="N35" s="192">
        <v>0.25</v>
      </c>
      <c r="O35" s="189"/>
      <c r="P35" s="191"/>
      <c r="Q35" s="188"/>
      <c r="R35" s="191"/>
      <c r="S35" s="188"/>
      <c r="T35" s="188"/>
      <c r="U35" s="188"/>
      <c r="V35" s="189"/>
      <c r="W35" s="191"/>
      <c r="X35" s="188"/>
      <c r="Y35" s="188"/>
      <c r="Z35" s="188"/>
      <c r="AA35" s="189"/>
      <c r="AB35" s="191"/>
      <c r="AC35" s="188"/>
      <c r="AD35" s="188"/>
      <c r="AE35" s="188"/>
      <c r="AF35" s="189"/>
      <c r="AG35" s="191"/>
      <c r="AH35" s="188"/>
      <c r="AI35" s="188"/>
      <c r="AJ35" s="188"/>
      <c r="AK35" s="189"/>
      <c r="AL35" s="191"/>
      <c r="AM35" s="188"/>
      <c r="AN35" s="191"/>
      <c r="AO35" s="188"/>
      <c r="AP35" s="188"/>
      <c r="AQ35" s="188"/>
      <c r="AR35" s="189"/>
      <c r="AS35" s="191"/>
      <c r="AT35" s="188"/>
      <c r="AU35" s="188"/>
      <c r="AV35" s="188"/>
      <c r="AW35" s="189"/>
      <c r="AX35" s="191"/>
      <c r="AY35" s="188"/>
      <c r="AZ35" s="188"/>
      <c r="BA35" s="188"/>
      <c r="BB35" s="189"/>
    </row>
    <row r="36" spans="2:60" ht="15" customHeight="1" x14ac:dyDescent="0.25">
      <c r="B36" s="93" t="s">
        <v>30</v>
      </c>
      <c r="C36" s="44">
        <f>SUM(F36:BB36)</f>
        <v>1</v>
      </c>
      <c r="D36" s="44">
        <f>SUM(F37:BB37)</f>
        <v>0.75</v>
      </c>
      <c r="E36" s="46">
        <f>(AVERAGE(C36,C37)-AVERAGE(D36,D37) )</f>
        <v>0.25</v>
      </c>
      <c r="F36" s="193"/>
      <c r="G36" s="195"/>
      <c r="H36" s="195"/>
      <c r="I36" s="195"/>
      <c r="J36" s="196"/>
      <c r="K36" s="193"/>
      <c r="L36" s="195"/>
      <c r="M36" s="194">
        <v>0.5</v>
      </c>
      <c r="N36" s="194">
        <v>0.5</v>
      </c>
      <c r="O36" s="196"/>
      <c r="P36" s="193"/>
      <c r="Q36" s="195"/>
      <c r="R36" s="193"/>
      <c r="S36" s="195"/>
      <c r="T36" s="195"/>
      <c r="U36" s="195"/>
      <c r="V36" s="196"/>
      <c r="W36" s="193"/>
      <c r="X36" s="195"/>
      <c r="Y36" s="195"/>
      <c r="Z36" s="195"/>
      <c r="AA36" s="196"/>
      <c r="AB36" s="193"/>
      <c r="AC36" s="195"/>
      <c r="AD36" s="195"/>
      <c r="AE36" s="195"/>
      <c r="AF36" s="196"/>
      <c r="AG36" s="193"/>
      <c r="AH36" s="195"/>
      <c r="AI36" s="195"/>
      <c r="AJ36" s="195"/>
      <c r="AK36" s="196"/>
      <c r="AL36" s="193"/>
      <c r="AM36" s="195"/>
      <c r="AN36" s="193"/>
      <c r="AO36" s="195"/>
      <c r="AP36" s="195"/>
      <c r="AQ36" s="195"/>
      <c r="AR36" s="196"/>
      <c r="AS36" s="193"/>
      <c r="AT36" s="195"/>
      <c r="AU36" s="195"/>
      <c r="AV36" s="195"/>
      <c r="AW36" s="196"/>
      <c r="AX36" s="193"/>
      <c r="AY36" s="195"/>
      <c r="AZ36" s="195"/>
      <c r="BA36" s="195"/>
      <c r="BB36" s="196"/>
    </row>
    <row r="37" spans="2:60" ht="15" customHeight="1" x14ac:dyDescent="0.25">
      <c r="B37" s="94"/>
      <c r="C37" s="45"/>
      <c r="D37" s="45"/>
      <c r="E37" s="47"/>
      <c r="F37" s="191"/>
      <c r="G37" s="188"/>
      <c r="H37" s="188"/>
      <c r="I37" s="188"/>
      <c r="J37" s="189"/>
      <c r="K37" s="191"/>
      <c r="L37" s="188"/>
      <c r="M37" s="188"/>
      <c r="N37" s="192">
        <v>0.25</v>
      </c>
      <c r="O37" s="189"/>
      <c r="P37" s="197">
        <v>0.5</v>
      </c>
      <c r="Q37" s="188"/>
      <c r="R37" s="191"/>
      <c r="S37" s="188"/>
      <c r="T37" s="188"/>
      <c r="U37" s="188"/>
      <c r="V37" s="189"/>
      <c r="W37" s="191"/>
      <c r="X37" s="188"/>
      <c r="Y37" s="188"/>
      <c r="Z37" s="188"/>
      <c r="AA37" s="189"/>
      <c r="AB37" s="191"/>
      <c r="AC37" s="188"/>
      <c r="AD37" s="188"/>
      <c r="AE37" s="188"/>
      <c r="AF37" s="189"/>
      <c r="AG37" s="191"/>
      <c r="AH37" s="188"/>
      <c r="AI37" s="188"/>
      <c r="AJ37" s="188"/>
      <c r="AK37" s="189"/>
      <c r="AL37" s="191"/>
      <c r="AM37" s="188"/>
      <c r="AN37" s="191"/>
      <c r="AO37" s="188"/>
      <c r="AP37" s="188"/>
      <c r="AQ37" s="188"/>
      <c r="AR37" s="189"/>
      <c r="AS37" s="191"/>
      <c r="AT37" s="188"/>
      <c r="AU37" s="188"/>
      <c r="AV37" s="188"/>
      <c r="AW37" s="189"/>
      <c r="AX37" s="191"/>
      <c r="AY37" s="188"/>
      <c r="AZ37" s="188"/>
      <c r="BA37" s="188"/>
      <c r="BB37" s="189"/>
    </row>
    <row r="38" spans="2:60" ht="15" customHeight="1" x14ac:dyDescent="0.25">
      <c r="B38" s="93" t="s">
        <v>31</v>
      </c>
      <c r="C38" s="44">
        <f>SUM(F38:BB38)</f>
        <v>1</v>
      </c>
      <c r="D38" s="44">
        <f>SUM(F39:BB39)</f>
        <v>2</v>
      </c>
      <c r="E38" s="46">
        <f t="shared" ref="E38" si="0">(AVERAGE(C38,C39)-AVERAGE(D38,D39) )</f>
        <v>-1</v>
      </c>
      <c r="F38" s="193"/>
      <c r="G38" s="183"/>
      <c r="H38" s="195"/>
      <c r="I38" s="195"/>
      <c r="J38" s="196"/>
      <c r="K38" s="193"/>
      <c r="L38" s="195"/>
      <c r="M38" s="195"/>
      <c r="N38" s="194">
        <v>1</v>
      </c>
      <c r="O38" s="196"/>
      <c r="P38" s="193"/>
      <c r="Q38" s="195"/>
      <c r="R38" s="193"/>
      <c r="S38" s="195"/>
      <c r="T38" s="195"/>
      <c r="U38" s="195"/>
      <c r="V38" s="196"/>
      <c r="W38" s="193"/>
      <c r="X38" s="195"/>
      <c r="Y38" s="195"/>
      <c r="Z38" s="195"/>
      <c r="AA38" s="196"/>
      <c r="AB38" s="193"/>
      <c r="AC38" s="195"/>
      <c r="AD38" s="195"/>
      <c r="AE38" s="195"/>
      <c r="AF38" s="196"/>
      <c r="AG38" s="193"/>
      <c r="AH38" s="195"/>
      <c r="AI38" s="195"/>
      <c r="AJ38" s="195"/>
      <c r="AK38" s="196"/>
      <c r="AL38" s="193"/>
      <c r="AM38" s="195"/>
      <c r="AN38" s="193"/>
      <c r="AO38" s="195"/>
      <c r="AP38" s="195"/>
      <c r="AQ38" s="195"/>
      <c r="AR38" s="196"/>
      <c r="AS38" s="193"/>
      <c r="AT38" s="195"/>
      <c r="AU38" s="195"/>
      <c r="AV38" s="195"/>
      <c r="AW38" s="196"/>
      <c r="AX38" s="193"/>
      <c r="AY38" s="195"/>
      <c r="AZ38" s="195"/>
      <c r="BA38" s="195"/>
      <c r="BB38" s="196"/>
    </row>
    <row r="39" spans="2:60" ht="15" customHeight="1" x14ac:dyDescent="0.25">
      <c r="B39" s="94"/>
      <c r="C39" s="45"/>
      <c r="D39" s="45"/>
      <c r="E39" s="47"/>
      <c r="F39" s="191"/>
      <c r="G39" s="188"/>
      <c r="H39" s="188"/>
      <c r="I39" s="188"/>
      <c r="J39" s="189"/>
      <c r="K39" s="191"/>
      <c r="L39" s="188"/>
      <c r="M39" s="188"/>
      <c r="N39" s="188"/>
      <c r="O39" s="189"/>
      <c r="P39" s="197">
        <v>0.75</v>
      </c>
      <c r="Q39" s="192">
        <v>1.25</v>
      </c>
      <c r="R39" s="191"/>
      <c r="S39" s="188"/>
      <c r="T39" s="188"/>
      <c r="U39" s="188"/>
      <c r="V39" s="189"/>
      <c r="W39" s="191"/>
      <c r="X39" s="188"/>
      <c r="Y39" s="188"/>
      <c r="Z39" s="188"/>
      <c r="AA39" s="189"/>
      <c r="AB39" s="191"/>
      <c r="AC39" s="188"/>
      <c r="AD39" s="188"/>
      <c r="AE39" s="188"/>
      <c r="AF39" s="189"/>
      <c r="AG39" s="191"/>
      <c r="AH39" s="188"/>
      <c r="AI39" s="188"/>
      <c r="AJ39" s="188"/>
      <c r="AK39" s="189"/>
      <c r="AL39" s="191"/>
      <c r="AM39" s="188"/>
      <c r="AN39" s="191"/>
      <c r="AO39" s="188"/>
      <c r="AP39" s="188"/>
      <c r="AQ39" s="188"/>
      <c r="AR39" s="189"/>
      <c r="AS39" s="191"/>
      <c r="AT39" s="188"/>
      <c r="AU39" s="188"/>
      <c r="AV39" s="188"/>
      <c r="AW39" s="189"/>
      <c r="AX39" s="191"/>
      <c r="AY39" s="188"/>
      <c r="AZ39" s="188"/>
      <c r="BA39" s="188"/>
      <c r="BB39" s="189"/>
    </row>
    <row r="40" spans="2:60" ht="15" customHeight="1" x14ac:dyDescent="0.25">
      <c r="B40" s="93" t="s">
        <v>32</v>
      </c>
      <c r="C40" s="44">
        <f>SUM(F40:BB40)</f>
        <v>0.5</v>
      </c>
      <c r="D40" s="44">
        <f>SUM(F41:BB41)</f>
        <v>1.75</v>
      </c>
      <c r="E40" s="46">
        <f t="shared" ref="E40" si="1">(AVERAGE(C40,C41)-AVERAGE(D40,D41) )</f>
        <v>-1.25</v>
      </c>
      <c r="F40" s="193"/>
      <c r="G40" s="195"/>
      <c r="H40" s="195"/>
      <c r="I40" s="195"/>
      <c r="J40" s="196"/>
      <c r="K40" s="193"/>
      <c r="L40" s="195"/>
      <c r="M40" s="195"/>
      <c r="N40" s="183"/>
      <c r="O40" s="196"/>
      <c r="P40" s="194">
        <v>0.5</v>
      </c>
      <c r="Q40" s="195"/>
      <c r="R40" s="193"/>
      <c r="S40" s="195"/>
      <c r="T40" s="195"/>
      <c r="U40" s="195"/>
      <c r="V40" s="196"/>
      <c r="W40" s="193"/>
      <c r="X40" s="195"/>
      <c r="Y40" s="195"/>
      <c r="Z40" s="195"/>
      <c r="AA40" s="196"/>
      <c r="AB40" s="193"/>
      <c r="AC40" s="195"/>
      <c r="AD40" s="195"/>
      <c r="AE40" s="195"/>
      <c r="AF40" s="196"/>
      <c r="AG40" s="193"/>
      <c r="AH40" s="195"/>
      <c r="AI40" s="195"/>
      <c r="AJ40" s="195"/>
      <c r="AK40" s="196"/>
      <c r="AL40" s="193"/>
      <c r="AM40" s="195"/>
      <c r="AN40" s="193"/>
      <c r="AO40" s="195"/>
      <c r="AP40" s="195"/>
      <c r="AQ40" s="195"/>
      <c r="AR40" s="196"/>
      <c r="AS40" s="193"/>
      <c r="AT40" s="195"/>
      <c r="AU40" s="195"/>
      <c r="AV40" s="195"/>
      <c r="AW40" s="196"/>
      <c r="AX40" s="193"/>
      <c r="AY40" s="195"/>
      <c r="AZ40" s="195"/>
      <c r="BA40" s="195"/>
      <c r="BB40" s="196"/>
      <c r="BG40" s="5"/>
    </row>
    <row r="41" spans="2:60" ht="15" customHeight="1" x14ac:dyDescent="0.25">
      <c r="B41" s="94"/>
      <c r="C41" s="45"/>
      <c r="D41" s="45"/>
      <c r="E41" s="47"/>
      <c r="F41" s="191"/>
      <c r="G41" s="188"/>
      <c r="H41" s="188"/>
      <c r="I41" s="188"/>
      <c r="J41" s="189"/>
      <c r="K41" s="191"/>
      <c r="L41" s="188"/>
      <c r="M41" s="188"/>
      <c r="N41" s="188" t="s">
        <v>51</v>
      </c>
      <c r="O41" s="189"/>
      <c r="P41" s="191"/>
      <c r="Q41" s="188"/>
      <c r="R41" s="197">
        <v>1.75</v>
      </c>
      <c r="S41" s="188"/>
      <c r="T41" s="188"/>
      <c r="U41" s="188"/>
      <c r="V41" s="189"/>
      <c r="W41" s="191"/>
      <c r="X41" s="188"/>
      <c r="Y41" s="188"/>
      <c r="Z41" s="188"/>
      <c r="AA41" s="189"/>
      <c r="AB41" s="191"/>
      <c r="AC41" s="188"/>
      <c r="AD41" s="188"/>
      <c r="AE41" s="188"/>
      <c r="AF41" s="189"/>
      <c r="AG41" s="191"/>
      <c r="AH41" s="188"/>
      <c r="AI41" s="188"/>
      <c r="AJ41" s="188"/>
      <c r="AK41" s="189"/>
      <c r="AL41" s="191"/>
      <c r="AM41" s="188"/>
      <c r="AN41" s="191"/>
      <c r="AO41" s="188"/>
      <c r="AP41" s="188"/>
      <c r="AQ41" s="188"/>
      <c r="AR41" s="189"/>
      <c r="AS41" s="191"/>
      <c r="AT41" s="188"/>
      <c r="AU41" s="188"/>
      <c r="AV41" s="188"/>
      <c r="AW41" s="189"/>
      <c r="AX41" s="191"/>
      <c r="AY41" s="188"/>
      <c r="AZ41" s="188"/>
      <c r="BA41" s="188"/>
      <c r="BB41" s="189"/>
      <c r="BG41" s="5"/>
    </row>
    <row r="42" spans="2:60" ht="15" customHeight="1" x14ac:dyDescent="0.25">
      <c r="B42" s="93" t="s">
        <v>62</v>
      </c>
      <c r="C42" s="44">
        <f>SUM(F42:BB42)</f>
        <v>0.5</v>
      </c>
      <c r="D42" s="44">
        <f>SUM(F43:BB43)</f>
        <v>1</v>
      </c>
      <c r="E42" s="46">
        <f t="shared" ref="E42" si="2">(AVERAGE(C42,C43)-AVERAGE(D42,D43) )</f>
        <v>-0.5</v>
      </c>
      <c r="F42" s="193"/>
      <c r="G42" s="195"/>
      <c r="H42" s="195"/>
      <c r="I42" s="195"/>
      <c r="J42" s="196"/>
      <c r="K42" s="193"/>
      <c r="L42" s="195"/>
      <c r="M42" s="195"/>
      <c r="N42" s="195"/>
      <c r="O42" s="196"/>
      <c r="P42" s="194">
        <v>0.5</v>
      </c>
      <c r="Q42" s="195"/>
      <c r="R42" s="193"/>
      <c r="S42" s="195"/>
      <c r="T42" s="195"/>
      <c r="U42" s="195"/>
      <c r="V42" s="196"/>
      <c r="W42" s="193"/>
      <c r="X42" s="195"/>
      <c r="Y42" s="195"/>
      <c r="Z42" s="195"/>
      <c r="AA42" s="196"/>
      <c r="AB42" s="193"/>
      <c r="AC42" s="195"/>
      <c r="AD42" s="195"/>
      <c r="AE42" s="195"/>
      <c r="AF42" s="196"/>
      <c r="AG42" s="193"/>
      <c r="AH42" s="195"/>
      <c r="AI42" s="195"/>
      <c r="AJ42" s="195"/>
      <c r="AK42" s="196"/>
      <c r="AL42" s="193"/>
      <c r="AM42" s="195"/>
      <c r="AN42" s="193"/>
      <c r="AO42" s="195"/>
      <c r="AP42" s="195"/>
      <c r="AQ42" s="195"/>
      <c r="AR42" s="196"/>
      <c r="AS42" s="193"/>
      <c r="AT42" s="195"/>
      <c r="AU42" s="195"/>
      <c r="AV42" s="195"/>
      <c r="AW42" s="196"/>
      <c r="AX42" s="193"/>
      <c r="AY42" s="195"/>
      <c r="AZ42" s="195"/>
      <c r="BA42" s="195"/>
      <c r="BB42" s="196"/>
    </row>
    <row r="43" spans="2:60" ht="15" customHeight="1" x14ac:dyDescent="0.25">
      <c r="B43" s="94"/>
      <c r="C43" s="45"/>
      <c r="D43" s="45"/>
      <c r="E43" s="47"/>
      <c r="F43" s="191"/>
      <c r="G43" s="188"/>
      <c r="H43" s="188"/>
      <c r="I43" s="188"/>
      <c r="J43" s="189"/>
      <c r="K43" s="191"/>
      <c r="L43" s="188"/>
      <c r="M43" s="188"/>
      <c r="N43" s="188"/>
      <c r="O43" s="189"/>
      <c r="P43" s="191"/>
      <c r="Q43" s="188"/>
      <c r="R43" s="191"/>
      <c r="S43" s="192">
        <v>1</v>
      </c>
      <c r="T43" s="188"/>
      <c r="U43" s="188"/>
      <c r="V43" s="189"/>
      <c r="W43" s="191"/>
      <c r="X43" s="188"/>
      <c r="Y43" s="188"/>
      <c r="Z43" s="188"/>
      <c r="AA43" s="189"/>
      <c r="AB43" s="191"/>
      <c r="AC43" s="188"/>
      <c r="AD43" s="188"/>
      <c r="AE43" s="188"/>
      <c r="AF43" s="189"/>
      <c r="AG43" s="191"/>
      <c r="AH43" s="188"/>
      <c r="AI43" s="188"/>
      <c r="AJ43" s="188"/>
      <c r="AK43" s="189"/>
      <c r="AL43" s="191"/>
      <c r="AM43" s="188"/>
      <c r="AN43" s="191"/>
      <c r="AO43" s="188"/>
      <c r="AP43" s="188"/>
      <c r="AQ43" s="188"/>
      <c r="AR43" s="189"/>
      <c r="AS43" s="191"/>
      <c r="AT43" s="188"/>
      <c r="AU43" s="188"/>
      <c r="AV43" s="188"/>
      <c r="AW43" s="189"/>
      <c r="AX43" s="191"/>
      <c r="AY43" s="188"/>
      <c r="AZ43" s="188"/>
      <c r="BA43" s="188"/>
      <c r="BB43" s="189"/>
      <c r="BF43" s="5"/>
      <c r="BG43" s="5"/>
    </row>
    <row r="44" spans="2:60" ht="15" customHeight="1" x14ac:dyDescent="0.25">
      <c r="B44" s="93" t="s">
        <v>33</v>
      </c>
      <c r="C44" s="44">
        <f>SUM(F44:BB44)</f>
        <v>0.5</v>
      </c>
      <c r="D44" s="44">
        <f>SUM(F45:BB45)</f>
        <v>0.75</v>
      </c>
      <c r="E44" s="46">
        <f>(AVERAGE(C44,C45)-AVERAGE(D44,D45) )</f>
        <v>-0.25</v>
      </c>
      <c r="F44" s="193"/>
      <c r="G44" s="195"/>
      <c r="H44" s="195"/>
      <c r="I44" s="195"/>
      <c r="J44" s="196"/>
      <c r="K44" s="193"/>
      <c r="L44" s="195"/>
      <c r="M44" s="195"/>
      <c r="N44" s="195"/>
      <c r="O44" s="196"/>
      <c r="P44" s="194">
        <v>0.5</v>
      </c>
      <c r="Q44" s="195"/>
      <c r="R44" s="193"/>
      <c r="S44" s="183"/>
      <c r="T44" s="195"/>
      <c r="U44" s="195"/>
      <c r="V44" s="196"/>
      <c r="W44" s="193"/>
      <c r="X44" s="195"/>
      <c r="Y44" s="195"/>
      <c r="Z44" s="195"/>
      <c r="AA44" s="196"/>
      <c r="AB44" s="193"/>
      <c r="AC44" s="195"/>
      <c r="AD44" s="195"/>
      <c r="AE44" s="195"/>
      <c r="AF44" s="196"/>
      <c r="AG44" s="193"/>
      <c r="AH44" s="195"/>
      <c r="AI44" s="195"/>
      <c r="AJ44" s="195"/>
      <c r="AK44" s="196"/>
      <c r="AL44" s="193"/>
      <c r="AM44" s="195"/>
      <c r="AN44" s="193"/>
      <c r="AO44" s="195"/>
      <c r="AP44" s="195"/>
      <c r="AQ44" s="195"/>
      <c r="AR44" s="196"/>
      <c r="AS44" s="193"/>
      <c r="AT44" s="195"/>
      <c r="AU44" s="195"/>
      <c r="AV44" s="195"/>
      <c r="AW44" s="196"/>
      <c r="AX44" s="193"/>
      <c r="AY44" s="195"/>
      <c r="AZ44" s="195"/>
      <c r="BA44" s="195"/>
      <c r="BB44" s="196"/>
      <c r="BF44" s="5"/>
      <c r="BG44" s="5"/>
      <c r="BH44" s="5"/>
    </row>
    <row r="45" spans="2:60" ht="15" customHeight="1" thickBot="1" x14ac:dyDescent="0.3">
      <c r="B45" s="100"/>
      <c r="C45" s="56"/>
      <c r="D45" s="56"/>
      <c r="E45" s="57"/>
      <c r="F45" s="191"/>
      <c r="G45" s="188"/>
      <c r="H45" s="188"/>
      <c r="I45" s="188"/>
      <c r="J45" s="189"/>
      <c r="K45" s="191"/>
      <c r="L45" s="188"/>
      <c r="M45" s="188"/>
      <c r="N45" s="188"/>
      <c r="O45" s="189"/>
      <c r="P45" s="191"/>
      <c r="Q45" s="188"/>
      <c r="R45" s="191"/>
      <c r="S45" s="198">
        <v>0.75</v>
      </c>
      <c r="T45" s="188"/>
      <c r="U45" s="188"/>
      <c r="V45" s="189"/>
      <c r="W45" s="191"/>
      <c r="X45" s="188"/>
      <c r="Y45" s="188"/>
      <c r="Z45" s="188"/>
      <c r="AA45" s="189"/>
      <c r="AB45" s="191"/>
      <c r="AC45" s="188"/>
      <c r="AD45" s="188"/>
      <c r="AE45" s="188"/>
      <c r="AF45" s="189"/>
      <c r="AG45" s="191"/>
      <c r="AH45" s="188"/>
      <c r="AI45" s="188"/>
      <c r="AJ45" s="188"/>
      <c r="AK45" s="189"/>
      <c r="AL45" s="191"/>
      <c r="AM45" s="188"/>
      <c r="AN45" s="191"/>
      <c r="AO45" s="188"/>
      <c r="AP45" s="188"/>
      <c r="AQ45" s="188"/>
      <c r="AR45" s="189"/>
      <c r="AS45" s="191"/>
      <c r="AT45" s="188"/>
      <c r="AU45" s="188"/>
      <c r="AV45" s="188"/>
      <c r="AW45" s="189"/>
      <c r="AX45" s="191"/>
      <c r="AY45" s="188"/>
      <c r="AZ45" s="188"/>
      <c r="BA45" s="188"/>
      <c r="BB45" s="189"/>
      <c r="BF45" s="5"/>
      <c r="BG45" s="5"/>
      <c r="BH45" s="5"/>
    </row>
    <row r="46" spans="2:60" ht="15" customHeight="1" x14ac:dyDescent="0.25">
      <c r="B46" s="95" t="s">
        <v>13</v>
      </c>
      <c r="C46" s="97">
        <f>SUM(C48:C51)</f>
        <v>1.5</v>
      </c>
      <c r="D46" s="97">
        <f>SUM(D48:D51)</f>
        <v>6</v>
      </c>
      <c r="E46" s="97">
        <f>(C46-D46)</f>
        <v>-4.5</v>
      </c>
      <c r="F46" s="225"/>
      <c r="G46" s="226"/>
      <c r="H46" s="226"/>
      <c r="I46" s="226"/>
      <c r="J46" s="226"/>
      <c r="K46" s="226"/>
      <c r="L46" s="226"/>
      <c r="M46" s="226"/>
      <c r="N46" s="226"/>
      <c r="O46" s="226"/>
      <c r="P46" s="226"/>
      <c r="Q46" s="226"/>
      <c r="R46" s="226"/>
      <c r="S46" s="226"/>
      <c r="T46" s="226"/>
      <c r="U46" s="226"/>
      <c r="V46" s="226"/>
      <c r="W46" s="226"/>
      <c r="X46" s="226"/>
      <c r="Y46" s="226"/>
      <c r="Z46" s="226"/>
      <c r="AA46" s="226"/>
      <c r="AB46" s="226"/>
      <c r="AC46" s="226"/>
      <c r="AD46" s="226"/>
      <c r="AE46" s="226"/>
      <c r="AF46" s="226"/>
      <c r="AG46" s="226"/>
      <c r="AH46" s="226"/>
      <c r="AI46" s="226"/>
      <c r="AJ46" s="226"/>
      <c r="AK46" s="226"/>
      <c r="AL46" s="226"/>
      <c r="AM46" s="226"/>
      <c r="AN46" s="226"/>
      <c r="AO46" s="226"/>
      <c r="AP46" s="226"/>
      <c r="AQ46" s="226"/>
      <c r="AR46" s="226"/>
      <c r="AS46" s="226"/>
      <c r="AT46" s="226"/>
      <c r="AU46" s="226"/>
      <c r="AV46" s="226"/>
      <c r="AW46" s="226"/>
      <c r="AX46" s="226"/>
      <c r="AY46" s="226"/>
      <c r="AZ46" s="226"/>
      <c r="BA46" s="226"/>
      <c r="BB46" s="227"/>
    </row>
    <row r="47" spans="2:60" ht="15" customHeight="1" thickBot="1" x14ac:dyDescent="0.3">
      <c r="B47" s="96"/>
      <c r="C47" s="98"/>
      <c r="D47" s="98"/>
      <c r="E47" s="99"/>
      <c r="F47" s="228"/>
      <c r="G47" s="229"/>
      <c r="H47" s="229"/>
      <c r="I47" s="229"/>
      <c r="J47" s="229"/>
      <c r="K47" s="229"/>
      <c r="L47" s="229"/>
      <c r="M47" s="229"/>
      <c r="N47" s="229"/>
      <c r="O47" s="229"/>
      <c r="P47" s="229"/>
      <c r="Q47" s="229"/>
      <c r="R47" s="229"/>
      <c r="S47" s="229"/>
      <c r="T47" s="229"/>
      <c r="U47" s="229"/>
      <c r="V47" s="229"/>
      <c r="W47" s="229"/>
      <c r="X47" s="229"/>
      <c r="Y47" s="229"/>
      <c r="Z47" s="229"/>
      <c r="AA47" s="229"/>
      <c r="AB47" s="229"/>
      <c r="AC47" s="229"/>
      <c r="AD47" s="229"/>
      <c r="AE47" s="229"/>
      <c r="AF47" s="229"/>
      <c r="AG47" s="229"/>
      <c r="AH47" s="229"/>
      <c r="AI47" s="229"/>
      <c r="AJ47" s="229"/>
      <c r="AK47" s="229"/>
      <c r="AL47" s="229"/>
      <c r="AM47" s="229"/>
      <c r="AN47" s="229"/>
      <c r="AO47" s="229"/>
      <c r="AP47" s="229"/>
      <c r="AQ47" s="229"/>
      <c r="AR47" s="229"/>
      <c r="AS47" s="229"/>
      <c r="AT47" s="229"/>
      <c r="AU47" s="229"/>
      <c r="AV47" s="229"/>
      <c r="AW47" s="229"/>
      <c r="AX47" s="229"/>
      <c r="AY47" s="229"/>
      <c r="AZ47" s="229"/>
      <c r="BA47" s="229"/>
      <c r="BB47" s="230"/>
    </row>
    <row r="48" spans="2:60" ht="15" customHeight="1" x14ac:dyDescent="0.25">
      <c r="B48" s="89" t="s">
        <v>34</v>
      </c>
      <c r="C48" s="44">
        <f>SUM(F48:BB48)</f>
        <v>0.5</v>
      </c>
      <c r="D48" s="44">
        <f>SUM(F49:BB49)</f>
        <v>1.5</v>
      </c>
      <c r="E48" s="65">
        <f>(AVERAGE(C48,C49)-AVERAGE(D48,D49) )</f>
        <v>-1</v>
      </c>
      <c r="F48" s="231"/>
      <c r="G48" s="232"/>
      <c r="H48" s="232"/>
      <c r="I48" s="232"/>
      <c r="J48" s="233"/>
      <c r="K48" s="231"/>
      <c r="L48" s="232"/>
      <c r="M48" s="232"/>
      <c r="N48" s="232"/>
      <c r="O48" s="233"/>
      <c r="P48" s="231"/>
      <c r="Q48" s="234">
        <v>0.5</v>
      </c>
      <c r="R48" s="231"/>
      <c r="S48" s="232"/>
      <c r="T48" s="232"/>
      <c r="U48" s="232"/>
      <c r="V48" s="233"/>
      <c r="W48" s="231"/>
      <c r="X48" s="232"/>
      <c r="Y48" s="232"/>
      <c r="Z48" s="232"/>
      <c r="AA48" s="233"/>
      <c r="AB48" s="231"/>
      <c r="AC48" s="232"/>
      <c r="AD48" s="232"/>
      <c r="AE48" s="232"/>
      <c r="AF48" s="233"/>
      <c r="AG48" s="231"/>
      <c r="AH48" s="232"/>
      <c r="AI48" s="232"/>
      <c r="AJ48" s="232"/>
      <c r="AK48" s="233"/>
      <c r="AL48" s="231"/>
      <c r="AM48" s="232"/>
      <c r="AN48" s="231"/>
      <c r="AO48" s="232"/>
      <c r="AP48" s="232"/>
      <c r="AQ48" s="232"/>
      <c r="AR48" s="233"/>
      <c r="AS48" s="231"/>
      <c r="AT48" s="232"/>
      <c r="AU48" s="232"/>
      <c r="AV48" s="232"/>
      <c r="AW48" s="233"/>
      <c r="AX48" s="231"/>
      <c r="AY48" s="232"/>
      <c r="AZ48" s="232"/>
      <c r="BA48" s="232"/>
      <c r="BB48" s="233"/>
    </row>
    <row r="49" spans="2:54" ht="15" customHeight="1" x14ac:dyDescent="0.25">
      <c r="B49" s="90"/>
      <c r="C49" s="45"/>
      <c r="D49" s="45"/>
      <c r="E49" s="47"/>
      <c r="F49" s="191"/>
      <c r="G49" s="188"/>
      <c r="H49" s="188"/>
      <c r="I49" s="188"/>
      <c r="J49" s="189"/>
      <c r="K49" s="191"/>
      <c r="L49" s="188"/>
      <c r="M49" s="188"/>
      <c r="N49" s="188"/>
      <c r="O49" s="189"/>
      <c r="P49" s="191"/>
      <c r="Q49" s="188"/>
      <c r="R49" s="191"/>
      <c r="S49" s="188"/>
      <c r="T49" s="192">
        <v>1</v>
      </c>
      <c r="U49" s="192">
        <v>0.5</v>
      </c>
      <c r="V49" s="189"/>
      <c r="W49" s="191"/>
      <c r="X49" s="188"/>
      <c r="Y49" s="188"/>
      <c r="Z49" s="188"/>
      <c r="AA49" s="189"/>
      <c r="AB49" s="191"/>
      <c r="AC49" s="188"/>
      <c r="AD49" s="188"/>
      <c r="AE49" s="188"/>
      <c r="AF49" s="189"/>
      <c r="AG49" s="191"/>
      <c r="AH49" s="188"/>
      <c r="AI49" s="188"/>
      <c r="AJ49" s="188"/>
      <c r="AK49" s="189"/>
      <c r="AL49" s="191"/>
      <c r="AM49" s="188"/>
      <c r="AN49" s="191"/>
      <c r="AO49" s="188"/>
      <c r="AP49" s="188"/>
      <c r="AQ49" s="188"/>
      <c r="AR49" s="189"/>
      <c r="AS49" s="191"/>
      <c r="AT49" s="188"/>
      <c r="AU49" s="188"/>
      <c r="AV49" s="188"/>
      <c r="AW49" s="189"/>
      <c r="AX49" s="191"/>
      <c r="AY49" s="188"/>
      <c r="AZ49" s="188"/>
      <c r="BA49" s="188"/>
      <c r="BB49" s="189"/>
    </row>
    <row r="50" spans="2:54" ht="15" customHeight="1" x14ac:dyDescent="0.25">
      <c r="B50" s="91" t="s">
        <v>49</v>
      </c>
      <c r="C50" s="44">
        <f>SUM(F50:BB50)</f>
        <v>1</v>
      </c>
      <c r="D50" s="44">
        <f>SUM(F51:BB51)</f>
        <v>4.5</v>
      </c>
      <c r="E50" s="46">
        <f>(AVERAGE(C50,C51)-AVERAGE(D50,D51) )</f>
        <v>-3.5</v>
      </c>
      <c r="F50" s="193"/>
      <c r="G50" s="195"/>
      <c r="H50" s="195"/>
      <c r="I50" s="195"/>
      <c r="J50" s="196"/>
      <c r="K50" s="193"/>
      <c r="L50" s="195"/>
      <c r="M50" s="195"/>
      <c r="N50" s="195"/>
      <c r="O50" s="196"/>
      <c r="P50" s="193"/>
      <c r="Q50" s="194">
        <v>1</v>
      </c>
      <c r="R50" s="193"/>
      <c r="S50" s="195"/>
      <c r="T50" s="195"/>
      <c r="U50" s="195"/>
      <c r="V50" s="196"/>
      <c r="W50" s="193"/>
      <c r="X50" s="195"/>
      <c r="Y50" s="195"/>
      <c r="Z50" s="195"/>
      <c r="AA50" s="196"/>
      <c r="AB50" s="193"/>
      <c r="AC50" s="195"/>
      <c r="AD50" s="195"/>
      <c r="AE50" s="195"/>
      <c r="AF50" s="196"/>
      <c r="AG50" s="193"/>
      <c r="AH50" s="195"/>
      <c r="AI50" s="195"/>
      <c r="AJ50" s="195"/>
      <c r="AK50" s="196"/>
      <c r="AL50" s="193"/>
      <c r="AM50" s="195"/>
      <c r="AN50" s="193"/>
      <c r="AO50" s="195"/>
      <c r="AP50" s="195"/>
      <c r="AQ50" s="195"/>
      <c r="AR50" s="196"/>
      <c r="AS50" s="193"/>
      <c r="AT50" s="195"/>
      <c r="AU50" s="195"/>
      <c r="AV50" s="195"/>
      <c r="AW50" s="196"/>
      <c r="AX50" s="193"/>
      <c r="AY50" s="195"/>
      <c r="AZ50" s="195"/>
      <c r="BA50" s="195"/>
      <c r="BB50" s="196"/>
    </row>
    <row r="51" spans="2:54" ht="15" customHeight="1" thickBot="1" x14ac:dyDescent="0.3">
      <c r="B51" s="92"/>
      <c r="C51" s="56"/>
      <c r="D51" s="56"/>
      <c r="E51" s="57"/>
      <c r="F51" s="191"/>
      <c r="G51" s="188"/>
      <c r="H51" s="188"/>
      <c r="I51" s="188"/>
      <c r="J51" s="189"/>
      <c r="K51" s="191"/>
      <c r="L51" s="188"/>
      <c r="M51" s="188"/>
      <c r="N51" s="188"/>
      <c r="O51" s="189"/>
      <c r="P51" s="191"/>
      <c r="Q51" s="188"/>
      <c r="R51" s="191"/>
      <c r="S51" s="188"/>
      <c r="T51" s="192">
        <v>0.75</v>
      </c>
      <c r="U51" s="192">
        <v>1</v>
      </c>
      <c r="V51" s="189"/>
      <c r="W51" s="197">
        <v>1.75</v>
      </c>
      <c r="X51" s="192">
        <v>1</v>
      </c>
      <c r="Y51" s="188"/>
      <c r="Z51" s="188"/>
      <c r="AA51" s="189"/>
      <c r="AB51" s="191"/>
      <c r="AC51" s="188"/>
      <c r="AD51" s="188"/>
      <c r="AE51" s="188"/>
      <c r="AF51" s="189"/>
      <c r="AG51" s="191"/>
      <c r="AH51" s="188"/>
      <c r="AI51" s="188"/>
      <c r="AJ51" s="188"/>
      <c r="AK51" s="189"/>
      <c r="AL51" s="191"/>
      <c r="AM51" s="188"/>
      <c r="AN51" s="191"/>
      <c r="AO51" s="188"/>
      <c r="AP51" s="188"/>
      <c r="AQ51" s="188"/>
      <c r="AR51" s="189"/>
      <c r="AS51" s="191"/>
      <c r="AT51" s="188"/>
      <c r="AU51" s="188"/>
      <c r="AV51" s="188"/>
      <c r="AW51" s="189"/>
      <c r="AX51" s="191"/>
      <c r="AY51" s="188"/>
      <c r="AZ51" s="188"/>
      <c r="BA51" s="188"/>
      <c r="BB51" s="189"/>
    </row>
    <row r="52" spans="2:54" ht="15" customHeight="1" x14ac:dyDescent="0.25">
      <c r="B52" s="84" t="s">
        <v>14</v>
      </c>
      <c r="C52" s="86">
        <f>SUM(C54:C71)</f>
        <v>33.5</v>
      </c>
      <c r="D52" s="86">
        <f>SUM(D54:D71)</f>
        <v>15.25</v>
      </c>
      <c r="E52" s="86">
        <f>(C52-D52)</f>
        <v>18.25</v>
      </c>
      <c r="F52" s="235"/>
      <c r="G52" s="236"/>
      <c r="H52" s="236"/>
      <c r="I52" s="236"/>
      <c r="J52" s="236"/>
      <c r="K52" s="236"/>
      <c r="L52" s="236"/>
      <c r="M52" s="236"/>
      <c r="N52" s="236"/>
      <c r="O52" s="236"/>
      <c r="P52" s="236"/>
      <c r="Q52" s="236"/>
      <c r="R52" s="236"/>
      <c r="S52" s="236"/>
      <c r="T52" s="236"/>
      <c r="U52" s="236"/>
      <c r="V52" s="236"/>
      <c r="W52" s="236"/>
      <c r="X52" s="236"/>
      <c r="Y52" s="236"/>
      <c r="Z52" s="236"/>
      <c r="AA52" s="236"/>
      <c r="AB52" s="236"/>
      <c r="AC52" s="236"/>
      <c r="AD52" s="236"/>
      <c r="AE52" s="236"/>
      <c r="AF52" s="236"/>
      <c r="AG52" s="236"/>
      <c r="AH52" s="236"/>
      <c r="AI52" s="236"/>
      <c r="AJ52" s="236"/>
      <c r="AK52" s="236"/>
      <c r="AL52" s="236"/>
      <c r="AM52" s="236"/>
      <c r="AN52" s="236"/>
      <c r="AO52" s="236"/>
      <c r="AP52" s="236"/>
      <c r="AQ52" s="236"/>
      <c r="AR52" s="236"/>
      <c r="AS52" s="236"/>
      <c r="AT52" s="236"/>
      <c r="AU52" s="236"/>
      <c r="AV52" s="236"/>
      <c r="AW52" s="236"/>
      <c r="AX52" s="236"/>
      <c r="AY52" s="236"/>
      <c r="AZ52" s="236"/>
      <c r="BA52" s="236"/>
      <c r="BB52" s="237"/>
    </row>
    <row r="53" spans="2:54" ht="15" customHeight="1" thickBot="1" x14ac:dyDescent="0.3">
      <c r="B53" s="85"/>
      <c r="C53" s="87"/>
      <c r="D53" s="87"/>
      <c r="E53" s="88"/>
      <c r="F53" s="238"/>
      <c r="G53" s="239"/>
      <c r="H53" s="239"/>
      <c r="I53" s="239"/>
      <c r="J53" s="239"/>
      <c r="K53" s="239"/>
      <c r="L53" s="239"/>
      <c r="M53" s="239"/>
      <c r="N53" s="239"/>
      <c r="O53" s="239"/>
      <c r="P53" s="239"/>
      <c r="Q53" s="239"/>
      <c r="R53" s="239"/>
      <c r="S53" s="239"/>
      <c r="T53" s="239"/>
      <c r="U53" s="239"/>
      <c r="V53" s="239"/>
      <c r="W53" s="239"/>
      <c r="X53" s="239"/>
      <c r="Y53" s="239"/>
      <c r="Z53" s="239"/>
      <c r="AA53" s="239"/>
      <c r="AB53" s="239"/>
      <c r="AC53" s="239"/>
      <c r="AD53" s="239"/>
      <c r="AE53" s="239"/>
      <c r="AF53" s="239"/>
      <c r="AG53" s="239"/>
      <c r="AH53" s="239"/>
      <c r="AI53" s="239"/>
      <c r="AJ53" s="239"/>
      <c r="AK53" s="239"/>
      <c r="AL53" s="239"/>
      <c r="AM53" s="239"/>
      <c r="AN53" s="239"/>
      <c r="AO53" s="239"/>
      <c r="AP53" s="239"/>
      <c r="AQ53" s="239"/>
      <c r="AR53" s="239"/>
      <c r="AS53" s="239"/>
      <c r="AT53" s="239"/>
      <c r="AU53" s="239"/>
      <c r="AV53" s="239"/>
      <c r="AW53" s="239"/>
      <c r="AX53" s="239"/>
      <c r="AY53" s="239"/>
      <c r="AZ53" s="239"/>
      <c r="BA53" s="239"/>
      <c r="BB53" s="240"/>
    </row>
    <row r="54" spans="2:54" ht="15" customHeight="1" x14ac:dyDescent="0.25">
      <c r="B54" s="83" t="s">
        <v>35</v>
      </c>
      <c r="C54" s="44">
        <f>SUM(F54:BB54)</f>
        <v>4.5</v>
      </c>
      <c r="D54" s="44">
        <f>SUM(F55:BB55)</f>
        <v>0.5</v>
      </c>
      <c r="E54" s="65">
        <f>(AVERAGE(C54,C55)-AVERAGE(D54,D55) )</f>
        <v>4</v>
      </c>
      <c r="F54" s="231"/>
      <c r="G54" s="232"/>
      <c r="H54" s="232"/>
      <c r="I54" s="232"/>
      <c r="J54" s="233"/>
      <c r="K54" s="231"/>
      <c r="L54" s="232"/>
      <c r="M54" s="232"/>
      <c r="N54" s="232"/>
      <c r="O54" s="233"/>
      <c r="P54" s="231"/>
      <c r="Q54" s="232"/>
      <c r="R54" s="241">
        <v>1.5</v>
      </c>
      <c r="S54" s="234">
        <v>1.5</v>
      </c>
      <c r="T54" s="234">
        <v>1.5</v>
      </c>
      <c r="U54" s="232"/>
      <c r="V54" s="233"/>
      <c r="W54" s="231"/>
      <c r="X54" s="232"/>
      <c r="Y54" s="232"/>
      <c r="Z54" s="232"/>
      <c r="AA54" s="233"/>
      <c r="AB54" s="231"/>
      <c r="AC54" s="232"/>
      <c r="AD54" s="232"/>
      <c r="AE54" s="232"/>
      <c r="AF54" s="233"/>
      <c r="AG54" s="231"/>
      <c r="AH54" s="232"/>
      <c r="AI54" s="232"/>
      <c r="AJ54" s="232"/>
      <c r="AK54" s="233"/>
      <c r="AL54" s="231"/>
      <c r="AM54" s="232"/>
      <c r="AN54" s="231"/>
      <c r="AO54" s="232"/>
      <c r="AP54" s="232"/>
      <c r="AQ54" s="232"/>
      <c r="AR54" s="233"/>
      <c r="AS54" s="231"/>
      <c r="AT54" s="232"/>
      <c r="AU54" s="232"/>
      <c r="AV54" s="232"/>
      <c r="AW54" s="233"/>
      <c r="AX54" s="231"/>
      <c r="AY54" s="232"/>
      <c r="AZ54" s="232"/>
      <c r="BA54" s="232"/>
      <c r="BB54" s="233"/>
    </row>
    <row r="55" spans="2:54" ht="15" customHeight="1" x14ac:dyDescent="0.25">
      <c r="B55" s="82"/>
      <c r="C55" s="45"/>
      <c r="D55" s="45"/>
      <c r="E55" s="47"/>
      <c r="F55" s="191"/>
      <c r="G55" s="188"/>
      <c r="H55" s="188"/>
      <c r="I55" s="188"/>
      <c r="J55" s="189"/>
      <c r="K55" s="191"/>
      <c r="L55" s="188"/>
      <c r="M55" s="188"/>
      <c r="N55" s="188"/>
      <c r="O55" s="189"/>
      <c r="P55" s="191"/>
      <c r="Q55" s="188"/>
      <c r="R55" s="191"/>
      <c r="S55" s="188"/>
      <c r="T55" s="188"/>
      <c r="U55" s="188"/>
      <c r="V55" s="189"/>
      <c r="W55" s="191"/>
      <c r="X55" s="192">
        <v>0.5</v>
      </c>
      <c r="Y55" s="188"/>
      <c r="Z55" s="188"/>
      <c r="AA55" s="189"/>
      <c r="AB55" s="191"/>
      <c r="AC55" s="188"/>
      <c r="AD55" s="188"/>
      <c r="AE55" s="188"/>
      <c r="AF55" s="189"/>
      <c r="AG55" s="191"/>
      <c r="AH55" s="188"/>
      <c r="AI55" s="188"/>
      <c r="AJ55" s="188"/>
      <c r="AK55" s="189"/>
      <c r="AL55" s="191"/>
      <c r="AM55" s="188"/>
      <c r="AN55" s="191"/>
      <c r="AO55" s="188"/>
      <c r="AP55" s="188"/>
      <c r="AQ55" s="188"/>
      <c r="AR55" s="189"/>
      <c r="AS55" s="191"/>
      <c r="AT55" s="188"/>
      <c r="AU55" s="188"/>
      <c r="AV55" s="188"/>
      <c r="AW55" s="189"/>
      <c r="AX55" s="191"/>
      <c r="AY55" s="188"/>
      <c r="AZ55" s="188"/>
      <c r="BA55" s="188"/>
      <c r="BB55" s="189"/>
    </row>
    <row r="56" spans="2:54" ht="15" customHeight="1" x14ac:dyDescent="0.25">
      <c r="B56" s="75" t="s">
        <v>63</v>
      </c>
      <c r="C56" s="44">
        <f>SUM(F56:BB56)</f>
        <v>1.5</v>
      </c>
      <c r="D56" s="44">
        <f>SUM(F57:BB57)</f>
        <v>0.5</v>
      </c>
      <c r="E56" s="46">
        <f t="shared" ref="E56:E68" si="3">(AVERAGE(C56,C57)-AVERAGE(D56,D57) )</f>
        <v>1</v>
      </c>
      <c r="F56" s="193"/>
      <c r="G56" s="195"/>
      <c r="H56" s="195"/>
      <c r="I56" s="195"/>
      <c r="J56" s="196"/>
      <c r="K56" s="193"/>
      <c r="L56" s="195"/>
      <c r="M56" s="195"/>
      <c r="N56" s="195"/>
      <c r="O56" s="196"/>
      <c r="P56" s="193"/>
      <c r="Q56" s="195"/>
      <c r="R56" s="193"/>
      <c r="S56" s="195"/>
      <c r="T56" s="183"/>
      <c r="U56" s="194">
        <v>1.5</v>
      </c>
      <c r="V56" s="196"/>
      <c r="W56" s="193"/>
      <c r="X56" s="195"/>
      <c r="Y56" s="183"/>
      <c r="Z56" s="195"/>
      <c r="AA56" s="196"/>
      <c r="AB56" s="193"/>
      <c r="AC56" s="195"/>
      <c r="AD56" s="195"/>
      <c r="AE56" s="195"/>
      <c r="AF56" s="196"/>
      <c r="AG56" s="193"/>
      <c r="AH56" s="195"/>
      <c r="AI56" s="195"/>
      <c r="AJ56" s="195"/>
      <c r="AK56" s="196"/>
      <c r="AL56" s="193"/>
      <c r="AM56" s="195"/>
      <c r="AN56" s="193"/>
      <c r="AO56" s="195"/>
      <c r="AP56" s="195"/>
      <c r="AQ56" s="195"/>
      <c r="AR56" s="196"/>
      <c r="AS56" s="193"/>
      <c r="AT56" s="195"/>
      <c r="AU56" s="195"/>
      <c r="AV56" s="195"/>
      <c r="AW56" s="196"/>
      <c r="AX56" s="193"/>
      <c r="AY56" s="195"/>
      <c r="AZ56" s="195"/>
      <c r="BA56" s="195"/>
      <c r="BB56" s="196"/>
    </row>
    <row r="57" spans="2:54" ht="15" customHeight="1" x14ac:dyDescent="0.25">
      <c r="B57" s="82"/>
      <c r="C57" s="45"/>
      <c r="D57" s="45"/>
      <c r="E57" s="47"/>
      <c r="F57" s="191"/>
      <c r="G57" s="188"/>
      <c r="H57" s="188"/>
      <c r="I57" s="188"/>
      <c r="J57" s="189"/>
      <c r="K57" s="191"/>
      <c r="L57" s="188"/>
      <c r="M57" s="188"/>
      <c r="N57" s="188"/>
      <c r="O57" s="189"/>
      <c r="P57" s="191"/>
      <c r="Q57" s="188"/>
      <c r="R57" s="191"/>
      <c r="S57" s="188"/>
      <c r="T57" s="183"/>
      <c r="U57" s="188"/>
      <c r="V57" s="189"/>
      <c r="W57" s="191"/>
      <c r="X57" s="188"/>
      <c r="Y57" s="198">
        <v>0.5</v>
      </c>
      <c r="Z57" s="188"/>
      <c r="AA57" s="189"/>
      <c r="AB57" s="191"/>
      <c r="AC57" s="188"/>
      <c r="AD57" s="188"/>
      <c r="AE57" s="188"/>
      <c r="AF57" s="189"/>
      <c r="AG57" s="191"/>
      <c r="AH57" s="188"/>
      <c r="AI57" s="188"/>
      <c r="AJ57" s="188"/>
      <c r="AK57" s="189"/>
      <c r="AL57" s="191"/>
      <c r="AM57" s="188"/>
      <c r="AN57" s="191"/>
      <c r="AO57" s="188"/>
      <c r="AP57" s="188"/>
      <c r="AQ57" s="188"/>
      <c r="AR57" s="189"/>
      <c r="AS57" s="191"/>
      <c r="AT57" s="188"/>
      <c r="AU57" s="188"/>
      <c r="AV57" s="188"/>
      <c r="AW57" s="189"/>
      <c r="AX57" s="191"/>
      <c r="AY57" s="188"/>
      <c r="AZ57" s="188"/>
      <c r="BA57" s="188"/>
      <c r="BB57" s="189"/>
    </row>
    <row r="58" spans="2:54" ht="15" customHeight="1" x14ac:dyDescent="0.25">
      <c r="B58" s="75" t="s">
        <v>36</v>
      </c>
      <c r="C58" s="44">
        <f>SUM(F58:BB58)</f>
        <v>4.5</v>
      </c>
      <c r="D58" s="44">
        <f>SUM(F59:BB59)</f>
        <v>1.25</v>
      </c>
      <c r="E58" s="46">
        <f t="shared" si="3"/>
        <v>3.25</v>
      </c>
      <c r="F58" s="193"/>
      <c r="G58" s="195"/>
      <c r="H58" s="195"/>
      <c r="I58" s="195"/>
      <c r="J58" s="196"/>
      <c r="K58" s="193"/>
      <c r="L58" s="195"/>
      <c r="M58" s="195"/>
      <c r="N58" s="195"/>
      <c r="O58" s="196"/>
      <c r="P58" s="193"/>
      <c r="Q58" s="195"/>
      <c r="R58" s="193"/>
      <c r="S58" s="195"/>
      <c r="T58" s="195"/>
      <c r="U58" s="183"/>
      <c r="V58" s="196"/>
      <c r="W58" s="194">
        <v>1.5</v>
      </c>
      <c r="X58" s="194">
        <v>1.5</v>
      </c>
      <c r="Y58" s="194">
        <v>1.5</v>
      </c>
      <c r="Z58" s="195"/>
      <c r="AA58" s="196"/>
      <c r="AB58" s="193"/>
      <c r="AC58" s="195"/>
      <c r="AD58" s="195"/>
      <c r="AE58" s="195"/>
      <c r="AF58" s="196"/>
      <c r="AG58" s="193"/>
      <c r="AH58" s="195"/>
      <c r="AI58" s="195"/>
      <c r="AJ58" s="195"/>
      <c r="AK58" s="196"/>
      <c r="AL58" s="193"/>
      <c r="AM58" s="195"/>
      <c r="AN58" s="193"/>
      <c r="AO58" s="195"/>
      <c r="AP58" s="195"/>
      <c r="AQ58" s="195"/>
      <c r="AR58" s="196"/>
      <c r="AS58" s="193"/>
      <c r="AT58" s="195"/>
      <c r="AU58" s="195"/>
      <c r="AV58" s="195"/>
      <c r="AW58" s="196"/>
      <c r="AX58" s="193"/>
      <c r="AY58" s="195"/>
      <c r="AZ58" s="195"/>
      <c r="BA58" s="195"/>
      <c r="BB58" s="196"/>
    </row>
    <row r="59" spans="2:54" ht="15" customHeight="1" x14ac:dyDescent="0.25">
      <c r="B59" s="82"/>
      <c r="C59" s="45"/>
      <c r="D59" s="45"/>
      <c r="E59" s="47"/>
      <c r="F59" s="191"/>
      <c r="G59" s="188"/>
      <c r="H59" s="188"/>
      <c r="I59" s="188"/>
      <c r="J59" s="189"/>
      <c r="K59" s="191"/>
      <c r="L59" s="188"/>
      <c r="M59" s="188"/>
      <c r="N59" s="188"/>
      <c r="O59" s="189"/>
      <c r="P59" s="191"/>
      <c r="Q59" s="188"/>
      <c r="R59" s="191"/>
      <c r="S59" s="188"/>
      <c r="T59" s="188"/>
      <c r="U59" s="183"/>
      <c r="V59" s="189"/>
      <c r="W59" s="188"/>
      <c r="X59" s="188"/>
      <c r="Y59" s="192">
        <v>1</v>
      </c>
      <c r="Z59" s="192">
        <v>0.25</v>
      </c>
      <c r="AA59" s="189"/>
      <c r="AB59" s="191"/>
      <c r="AC59" s="188"/>
      <c r="AD59" s="188"/>
      <c r="AE59" s="188"/>
      <c r="AF59" s="189"/>
      <c r="AG59" s="191"/>
      <c r="AH59" s="188"/>
      <c r="AI59" s="188"/>
      <c r="AJ59" s="188"/>
      <c r="AK59" s="189"/>
      <c r="AL59" s="191"/>
      <c r="AM59" s="188"/>
      <c r="AN59" s="191"/>
      <c r="AO59" s="188"/>
      <c r="AP59" s="188"/>
      <c r="AQ59" s="188"/>
      <c r="AR59" s="189"/>
      <c r="AS59" s="191"/>
      <c r="AT59" s="188"/>
      <c r="AU59" s="188"/>
      <c r="AV59" s="188"/>
      <c r="AW59" s="189"/>
      <c r="AX59" s="191"/>
      <c r="AY59" s="188"/>
      <c r="AZ59" s="188"/>
      <c r="BA59" s="188"/>
      <c r="BB59" s="189"/>
    </row>
    <row r="60" spans="2:54" ht="15" customHeight="1" x14ac:dyDescent="0.25">
      <c r="B60" s="75" t="s">
        <v>37</v>
      </c>
      <c r="C60" s="44">
        <f>SUM(F60:BB60)</f>
        <v>7.5</v>
      </c>
      <c r="D60" s="44">
        <f>SUM(F61:BB61)</f>
        <v>4.25</v>
      </c>
      <c r="E60" s="46">
        <f t="shared" si="3"/>
        <v>3.25</v>
      </c>
      <c r="F60" s="193"/>
      <c r="G60" s="195"/>
      <c r="H60" s="195"/>
      <c r="I60" s="195"/>
      <c r="J60" s="196"/>
      <c r="K60" s="193"/>
      <c r="L60" s="195"/>
      <c r="M60" s="195"/>
      <c r="N60" s="195"/>
      <c r="O60" s="196"/>
      <c r="P60" s="193"/>
      <c r="Q60" s="195"/>
      <c r="R60" s="193"/>
      <c r="S60" s="195"/>
      <c r="T60" s="195"/>
      <c r="U60" s="195"/>
      <c r="V60" s="196"/>
      <c r="W60" s="193"/>
      <c r="X60" s="195"/>
      <c r="Y60" s="195"/>
      <c r="Z60" s="194">
        <v>1.5</v>
      </c>
      <c r="AA60" s="196"/>
      <c r="AB60" s="242">
        <v>1.5</v>
      </c>
      <c r="AC60" s="194">
        <v>1.5</v>
      </c>
      <c r="AD60" s="194">
        <v>1.5</v>
      </c>
      <c r="AE60" s="194">
        <v>1.5</v>
      </c>
      <c r="AF60" s="196"/>
      <c r="AG60" s="193"/>
      <c r="AH60" s="195"/>
      <c r="AI60" s="195"/>
      <c r="AJ60" s="195"/>
      <c r="AK60" s="196"/>
      <c r="AL60" s="193"/>
      <c r="AM60" s="195"/>
      <c r="AN60" s="193"/>
      <c r="AO60" s="195"/>
      <c r="AP60" s="195"/>
      <c r="AQ60" s="195"/>
      <c r="AR60" s="196"/>
      <c r="AS60" s="193"/>
      <c r="AT60" s="195"/>
      <c r="AU60" s="195"/>
      <c r="AV60" s="195"/>
      <c r="AW60" s="196"/>
      <c r="AX60" s="193"/>
      <c r="AY60" s="195"/>
      <c r="AZ60" s="195"/>
      <c r="BA60" s="195"/>
      <c r="BB60" s="196"/>
    </row>
    <row r="61" spans="2:54" ht="15" customHeight="1" x14ac:dyDescent="0.25">
      <c r="B61" s="82"/>
      <c r="C61" s="45"/>
      <c r="D61" s="45"/>
      <c r="E61" s="47"/>
      <c r="F61" s="191"/>
      <c r="G61" s="188"/>
      <c r="H61" s="188"/>
      <c r="I61" s="188"/>
      <c r="J61" s="189"/>
      <c r="K61" s="191"/>
      <c r="L61" s="188"/>
      <c r="M61" s="188"/>
      <c r="N61" s="188"/>
      <c r="O61" s="189"/>
      <c r="P61" s="191"/>
      <c r="Q61" s="188"/>
      <c r="R61" s="191"/>
      <c r="S61" s="188"/>
      <c r="T61" s="188"/>
      <c r="U61" s="188"/>
      <c r="V61" s="189"/>
      <c r="W61" s="191"/>
      <c r="X61" s="188"/>
      <c r="Y61" s="188"/>
      <c r="Z61" s="192">
        <v>1.25</v>
      </c>
      <c r="AA61" s="189"/>
      <c r="AB61" s="197">
        <v>1.5</v>
      </c>
      <c r="AC61" s="192">
        <v>1.5</v>
      </c>
      <c r="AD61" s="188"/>
      <c r="AE61" s="188"/>
      <c r="AF61" s="189"/>
      <c r="AG61" s="191"/>
      <c r="AH61" s="188"/>
      <c r="AI61" s="188"/>
      <c r="AJ61" s="188"/>
      <c r="AK61" s="189"/>
      <c r="AL61" s="191"/>
      <c r="AM61" s="188"/>
      <c r="AN61" s="191"/>
      <c r="AO61" s="188"/>
      <c r="AP61" s="188"/>
      <c r="AQ61" s="188"/>
      <c r="AR61" s="189"/>
      <c r="AS61" s="191"/>
      <c r="AT61" s="188"/>
      <c r="AU61" s="188"/>
      <c r="AV61" s="188"/>
      <c r="AW61" s="189"/>
      <c r="AX61" s="191"/>
      <c r="AY61" s="188"/>
      <c r="AZ61" s="188"/>
      <c r="BA61" s="188"/>
      <c r="BB61" s="189"/>
    </row>
    <row r="62" spans="2:54" ht="15" customHeight="1" x14ac:dyDescent="0.25">
      <c r="B62" s="75" t="s">
        <v>38</v>
      </c>
      <c r="C62" s="44">
        <f>SUM(F62:BB62)</f>
        <v>2.5</v>
      </c>
      <c r="D62" s="44">
        <f>SUM(F63:BB63)</f>
        <v>0.5</v>
      </c>
      <c r="E62" s="46">
        <f t="shared" si="3"/>
        <v>2</v>
      </c>
      <c r="F62" s="193"/>
      <c r="G62" s="195"/>
      <c r="H62" s="195"/>
      <c r="I62" s="195"/>
      <c r="J62" s="196"/>
      <c r="K62" s="193"/>
      <c r="L62" s="195"/>
      <c r="M62" s="195"/>
      <c r="N62" s="195"/>
      <c r="O62" s="196"/>
      <c r="P62" s="193"/>
      <c r="Q62" s="195"/>
      <c r="R62" s="193"/>
      <c r="S62" s="195"/>
      <c r="T62" s="195"/>
      <c r="U62" s="195"/>
      <c r="V62" s="196"/>
      <c r="W62" s="183"/>
      <c r="X62" s="183"/>
      <c r="Y62" s="183"/>
      <c r="Z62" s="195"/>
      <c r="AA62" s="196"/>
      <c r="AB62" s="195"/>
      <c r="AC62" s="185"/>
      <c r="AD62" s="195"/>
      <c r="AE62" s="195"/>
      <c r="AF62" s="196"/>
      <c r="AG62" s="242">
        <v>1.5</v>
      </c>
      <c r="AH62" s="194">
        <v>1</v>
      </c>
      <c r="AI62" s="195"/>
      <c r="AJ62" s="195"/>
      <c r="AK62" s="196"/>
      <c r="AL62" s="193"/>
      <c r="AM62" s="195"/>
      <c r="AN62" s="193"/>
      <c r="AO62" s="195"/>
      <c r="AP62" s="195"/>
      <c r="AQ62" s="195"/>
      <c r="AR62" s="196"/>
      <c r="AS62" s="193"/>
      <c r="AT62" s="195"/>
      <c r="AU62" s="195"/>
      <c r="AV62" s="195"/>
      <c r="AW62" s="196"/>
      <c r="AX62" s="193"/>
      <c r="AY62" s="195"/>
      <c r="AZ62" s="195"/>
      <c r="BA62" s="195"/>
      <c r="BB62" s="196"/>
    </row>
    <row r="63" spans="2:54" ht="15" customHeight="1" x14ac:dyDescent="0.25">
      <c r="B63" s="82"/>
      <c r="C63" s="45"/>
      <c r="D63" s="45"/>
      <c r="E63" s="47"/>
      <c r="F63" s="191"/>
      <c r="G63" s="188"/>
      <c r="H63" s="188"/>
      <c r="I63" s="188"/>
      <c r="J63" s="189"/>
      <c r="K63" s="191"/>
      <c r="L63" s="188"/>
      <c r="M63" s="188"/>
      <c r="N63" s="188"/>
      <c r="O63" s="189"/>
      <c r="P63" s="191"/>
      <c r="Q63" s="188"/>
      <c r="R63" s="191"/>
      <c r="S63" s="188"/>
      <c r="T63" s="188"/>
      <c r="U63" s="188"/>
      <c r="V63" s="189"/>
      <c r="W63" s="183"/>
      <c r="X63" s="183"/>
      <c r="Y63" s="183"/>
      <c r="Z63" s="188"/>
      <c r="AA63" s="189"/>
      <c r="AB63" s="188"/>
      <c r="AC63" s="188"/>
      <c r="AD63" s="192">
        <v>0.5</v>
      </c>
      <c r="AE63" s="188"/>
      <c r="AF63" s="189"/>
      <c r="AG63" s="191"/>
      <c r="AH63" s="188"/>
      <c r="AI63" s="188"/>
      <c r="AJ63" s="188"/>
      <c r="AK63" s="189"/>
      <c r="AL63" s="191"/>
      <c r="AM63" s="188"/>
      <c r="AN63" s="191"/>
      <c r="AO63" s="188"/>
      <c r="AP63" s="188"/>
      <c r="AQ63" s="188"/>
      <c r="AR63" s="189"/>
      <c r="AS63" s="191"/>
      <c r="AT63" s="188"/>
      <c r="AU63" s="188"/>
      <c r="AV63" s="188"/>
      <c r="AW63" s="189"/>
      <c r="AX63" s="191"/>
      <c r="AY63" s="188"/>
      <c r="AZ63" s="188"/>
      <c r="BA63" s="188"/>
      <c r="BB63" s="189"/>
    </row>
    <row r="64" spans="2:54" ht="15" customHeight="1" x14ac:dyDescent="0.25">
      <c r="B64" s="75" t="s">
        <v>39</v>
      </c>
      <c r="C64" s="44">
        <f>SUM(F64:BB64)</f>
        <v>8</v>
      </c>
      <c r="D64" s="44">
        <f>SUM(F65:BB65)</f>
        <v>2.5</v>
      </c>
      <c r="E64" s="46">
        <f t="shared" si="3"/>
        <v>5.5</v>
      </c>
      <c r="F64" s="193"/>
      <c r="G64" s="195"/>
      <c r="H64" s="195"/>
      <c r="I64" s="195"/>
      <c r="J64" s="196"/>
      <c r="K64" s="193"/>
      <c r="L64" s="195"/>
      <c r="M64" s="195"/>
      <c r="N64" s="195"/>
      <c r="O64" s="196"/>
      <c r="P64" s="193"/>
      <c r="Q64" s="195"/>
      <c r="R64" s="193"/>
      <c r="S64" s="195"/>
      <c r="T64" s="195"/>
      <c r="U64" s="195"/>
      <c r="V64" s="196"/>
      <c r="W64" s="193"/>
      <c r="X64" s="195"/>
      <c r="Y64" s="195"/>
      <c r="Z64" s="183"/>
      <c r="AA64" s="196"/>
      <c r="AB64" s="183"/>
      <c r="AC64" s="195"/>
      <c r="AD64" s="195"/>
      <c r="AE64" s="195"/>
      <c r="AF64" s="196"/>
      <c r="AG64" s="185"/>
      <c r="AH64" s="194">
        <v>0.5</v>
      </c>
      <c r="AI64" s="194">
        <v>1.5</v>
      </c>
      <c r="AJ64" s="194">
        <v>1.5</v>
      </c>
      <c r="AK64" s="196"/>
      <c r="AL64" s="242">
        <v>1.5</v>
      </c>
      <c r="AM64" s="194">
        <v>1.5</v>
      </c>
      <c r="AN64" s="242">
        <v>1.5</v>
      </c>
      <c r="AO64" s="195"/>
      <c r="AP64" s="195"/>
      <c r="AQ64" s="195"/>
      <c r="AR64" s="196"/>
      <c r="AS64" s="193"/>
      <c r="AT64" s="195"/>
      <c r="AU64" s="195"/>
      <c r="AV64" s="195"/>
      <c r="AW64" s="196"/>
      <c r="AX64" s="193"/>
      <c r="AY64" s="195"/>
      <c r="AZ64" s="195"/>
      <c r="BA64" s="195"/>
      <c r="BB64" s="196"/>
    </row>
    <row r="65" spans="2:54" ht="15" customHeight="1" x14ac:dyDescent="0.25">
      <c r="B65" s="82"/>
      <c r="C65" s="45"/>
      <c r="D65" s="45"/>
      <c r="E65" s="47"/>
      <c r="F65" s="191"/>
      <c r="G65" s="188"/>
      <c r="H65" s="188"/>
      <c r="I65" s="188"/>
      <c r="J65" s="189"/>
      <c r="K65" s="191"/>
      <c r="L65" s="188"/>
      <c r="M65" s="188"/>
      <c r="N65" s="188"/>
      <c r="O65" s="189"/>
      <c r="P65" s="191"/>
      <c r="Q65" s="188"/>
      <c r="R65" s="191"/>
      <c r="S65" s="188"/>
      <c r="T65" s="188"/>
      <c r="U65" s="188"/>
      <c r="V65" s="189"/>
      <c r="W65" s="191"/>
      <c r="X65" s="188"/>
      <c r="Y65" s="188"/>
      <c r="Z65" s="183"/>
      <c r="AA65" s="189"/>
      <c r="AB65" s="183"/>
      <c r="AC65" s="188"/>
      <c r="AD65" s="192">
        <v>1</v>
      </c>
      <c r="AE65" s="192">
        <v>1.5</v>
      </c>
      <c r="AF65" s="189"/>
      <c r="AG65" s="193"/>
      <c r="AH65" s="188"/>
      <c r="AI65" s="188"/>
      <c r="AJ65" s="188"/>
      <c r="AK65" s="189"/>
      <c r="AL65" s="191"/>
      <c r="AM65" s="188"/>
      <c r="AN65" s="191"/>
      <c r="AO65" s="188"/>
      <c r="AP65" s="188"/>
      <c r="AQ65" s="188"/>
      <c r="AR65" s="189"/>
      <c r="AS65" s="191"/>
      <c r="AT65" s="188"/>
      <c r="AU65" s="188"/>
      <c r="AV65" s="188"/>
      <c r="AW65" s="189"/>
      <c r="AX65" s="191"/>
      <c r="AY65" s="188"/>
      <c r="AZ65" s="188"/>
      <c r="BA65" s="188"/>
      <c r="BB65" s="189"/>
    </row>
    <row r="66" spans="2:54" ht="15" customHeight="1" x14ac:dyDescent="0.25">
      <c r="B66" s="75" t="s">
        <v>50</v>
      </c>
      <c r="C66" s="44">
        <f>SUM(F66:BB66)</f>
        <v>3</v>
      </c>
      <c r="D66" s="44">
        <f>SUM(F67:BB67)</f>
        <v>2.75</v>
      </c>
      <c r="E66" s="46">
        <f t="shared" si="3"/>
        <v>0.25</v>
      </c>
      <c r="F66" s="193"/>
      <c r="G66" s="195"/>
      <c r="H66" s="195"/>
      <c r="I66" s="195"/>
      <c r="J66" s="196"/>
      <c r="K66" s="193"/>
      <c r="L66" s="195"/>
      <c r="M66" s="195"/>
      <c r="N66" s="195"/>
      <c r="O66" s="196"/>
      <c r="P66" s="193"/>
      <c r="Q66" s="195"/>
      <c r="R66" s="193"/>
      <c r="S66" s="195"/>
      <c r="T66" s="195"/>
      <c r="U66" s="195"/>
      <c r="V66" s="196"/>
      <c r="W66" s="193"/>
      <c r="X66" s="195"/>
      <c r="Y66" s="195"/>
      <c r="Z66" s="195"/>
      <c r="AA66" s="196"/>
      <c r="AB66" s="193"/>
      <c r="AC66" s="195"/>
      <c r="AD66" s="195"/>
      <c r="AE66" s="195"/>
      <c r="AF66" s="196"/>
      <c r="AG66" s="193"/>
      <c r="AH66" s="195"/>
      <c r="AI66" s="195"/>
      <c r="AJ66" s="195"/>
      <c r="AK66" s="196"/>
      <c r="AL66" s="193"/>
      <c r="AM66" s="195"/>
      <c r="AN66" s="193"/>
      <c r="AO66" s="194">
        <v>1.5</v>
      </c>
      <c r="AP66" s="194">
        <v>1.5</v>
      </c>
      <c r="AQ66" s="195"/>
      <c r="AR66" s="196"/>
      <c r="AS66" s="193"/>
      <c r="AT66" s="195"/>
      <c r="AU66" s="195"/>
      <c r="AV66" s="195"/>
      <c r="AW66" s="196"/>
      <c r="AX66" s="193"/>
      <c r="AY66" s="195"/>
      <c r="AZ66" s="195"/>
      <c r="BA66" s="195"/>
      <c r="BB66" s="196"/>
    </row>
    <row r="67" spans="2:54" ht="15" customHeight="1" x14ac:dyDescent="0.25">
      <c r="B67" s="82"/>
      <c r="C67" s="45"/>
      <c r="D67" s="45"/>
      <c r="E67" s="47"/>
      <c r="F67" s="191"/>
      <c r="G67" s="188"/>
      <c r="H67" s="188"/>
      <c r="I67" s="188"/>
      <c r="J67" s="189"/>
      <c r="K67" s="191"/>
      <c r="L67" s="188"/>
      <c r="M67" s="188"/>
      <c r="N67" s="188"/>
      <c r="O67" s="189"/>
      <c r="P67" s="191"/>
      <c r="Q67" s="188"/>
      <c r="R67" s="191"/>
      <c r="S67" s="188"/>
      <c r="T67" s="188"/>
      <c r="U67" s="188"/>
      <c r="V67" s="189"/>
      <c r="W67" s="191"/>
      <c r="X67" s="188"/>
      <c r="Y67" s="188"/>
      <c r="Z67" s="188"/>
      <c r="AA67" s="189"/>
      <c r="AB67" s="191"/>
      <c r="AC67" s="188"/>
      <c r="AD67" s="188"/>
      <c r="AE67" s="188"/>
      <c r="AF67" s="189"/>
      <c r="AG67" s="197">
        <v>1.5</v>
      </c>
      <c r="AH67" s="192">
        <v>1.25</v>
      </c>
      <c r="AI67" s="188"/>
      <c r="AJ67" s="188"/>
      <c r="AK67" s="189"/>
      <c r="AL67" s="191"/>
      <c r="AM67" s="188"/>
      <c r="AN67" s="191"/>
      <c r="AO67" s="188"/>
      <c r="AP67" s="188"/>
      <c r="AQ67" s="188"/>
      <c r="AR67" s="189"/>
      <c r="AS67" s="191"/>
      <c r="AT67" s="188"/>
      <c r="AU67" s="188"/>
      <c r="AV67" s="188"/>
      <c r="AW67" s="189"/>
      <c r="AX67" s="191"/>
      <c r="AY67" s="188"/>
      <c r="AZ67" s="188"/>
      <c r="BA67" s="188"/>
      <c r="BB67" s="189"/>
    </row>
    <row r="68" spans="2:54" ht="15" customHeight="1" x14ac:dyDescent="0.25">
      <c r="B68" s="75" t="s">
        <v>67</v>
      </c>
      <c r="C68" s="44">
        <f>SUM(F68:BB68)</f>
        <v>1.5</v>
      </c>
      <c r="D68" s="44">
        <f>SUM(F69:BB69)</f>
        <v>2.25</v>
      </c>
      <c r="E68" s="46">
        <f t="shared" si="3"/>
        <v>-0.75</v>
      </c>
      <c r="F68" s="193"/>
      <c r="G68" s="195"/>
      <c r="H68" s="195"/>
      <c r="I68" s="195"/>
      <c r="J68" s="196"/>
      <c r="K68" s="193"/>
      <c r="L68" s="195"/>
      <c r="M68" s="195"/>
      <c r="N68" s="195"/>
      <c r="O68" s="196"/>
      <c r="P68" s="193"/>
      <c r="Q68" s="195"/>
      <c r="R68" s="193"/>
      <c r="S68" s="195"/>
      <c r="T68" s="195"/>
      <c r="U68" s="195"/>
      <c r="V68" s="196"/>
      <c r="W68" s="193"/>
      <c r="X68" s="195"/>
      <c r="Y68" s="195"/>
      <c r="Z68" s="195"/>
      <c r="AA68" s="196"/>
      <c r="AB68" s="193"/>
      <c r="AC68" s="195"/>
      <c r="AD68" s="195"/>
      <c r="AE68" s="195"/>
      <c r="AF68" s="196"/>
      <c r="AG68" s="193"/>
      <c r="AH68" s="195"/>
      <c r="AI68" s="195"/>
      <c r="AJ68" s="195"/>
      <c r="AK68" s="196"/>
      <c r="AL68" s="193"/>
      <c r="AM68" s="195"/>
      <c r="AN68" s="193"/>
      <c r="AO68" s="195"/>
      <c r="AP68" s="195"/>
      <c r="AQ68" s="194">
        <v>1.5</v>
      </c>
      <c r="AR68" s="196"/>
      <c r="AS68" s="193"/>
      <c r="AT68" s="195"/>
      <c r="AU68" s="195"/>
      <c r="AV68" s="195"/>
      <c r="AW68" s="196"/>
      <c r="AX68" s="193"/>
      <c r="AY68" s="195"/>
      <c r="AZ68" s="195"/>
      <c r="BA68" s="195"/>
      <c r="BB68" s="196"/>
    </row>
    <row r="69" spans="2:54" ht="15" customHeight="1" x14ac:dyDescent="0.25">
      <c r="B69" s="82"/>
      <c r="C69" s="45"/>
      <c r="D69" s="45"/>
      <c r="E69" s="47"/>
      <c r="F69" s="191"/>
      <c r="G69" s="188"/>
      <c r="H69" s="188"/>
      <c r="I69" s="188"/>
      <c r="J69" s="189"/>
      <c r="K69" s="191"/>
      <c r="L69" s="188"/>
      <c r="M69" s="188"/>
      <c r="N69" s="188"/>
      <c r="O69" s="189"/>
      <c r="P69" s="191"/>
      <c r="Q69" s="188"/>
      <c r="R69" s="191"/>
      <c r="S69" s="188"/>
      <c r="T69" s="188"/>
      <c r="U69" s="188"/>
      <c r="V69" s="189"/>
      <c r="W69" s="191"/>
      <c r="X69" s="188"/>
      <c r="Y69" s="188"/>
      <c r="Z69" s="188"/>
      <c r="AA69" s="189"/>
      <c r="AB69" s="191"/>
      <c r="AC69" s="188"/>
      <c r="AD69" s="188"/>
      <c r="AE69" s="188"/>
      <c r="AF69" s="189"/>
      <c r="AG69" s="191"/>
      <c r="AH69" s="188"/>
      <c r="AI69" s="192">
        <v>1.5</v>
      </c>
      <c r="AJ69" s="192">
        <v>0.75</v>
      </c>
      <c r="AK69" s="189"/>
      <c r="AL69" s="191"/>
      <c r="AM69" s="188"/>
      <c r="AN69" s="191"/>
      <c r="AO69" s="188"/>
      <c r="AP69" s="188"/>
      <c r="AQ69" s="188"/>
      <c r="AR69" s="189"/>
      <c r="AS69" s="191"/>
      <c r="AT69" s="188"/>
      <c r="AU69" s="188"/>
      <c r="AV69" s="188"/>
      <c r="AW69" s="189"/>
      <c r="AX69" s="191"/>
      <c r="AY69" s="188"/>
      <c r="AZ69" s="188"/>
      <c r="BA69" s="188"/>
      <c r="BB69" s="189"/>
    </row>
    <row r="70" spans="2:54" ht="15" customHeight="1" x14ac:dyDescent="0.25">
      <c r="B70" s="75" t="s">
        <v>40</v>
      </c>
      <c r="C70" s="44">
        <f>SUM(F70:BB70)</f>
        <v>0.5</v>
      </c>
      <c r="D70" s="44">
        <f>SUM(F71:BB71)</f>
        <v>0.75</v>
      </c>
      <c r="E70" s="46">
        <f>(AVERAGE(C70,C71)-AVERAGE(D70,D71) )</f>
        <v>-0.25</v>
      </c>
      <c r="F70" s="186"/>
      <c r="G70" s="183"/>
      <c r="H70" s="183"/>
      <c r="I70" s="183"/>
      <c r="J70" s="184"/>
      <c r="K70" s="186"/>
      <c r="L70" s="183"/>
      <c r="M70" s="183"/>
      <c r="N70" s="183"/>
      <c r="O70" s="184"/>
      <c r="P70" s="186"/>
      <c r="Q70" s="183"/>
      <c r="R70" s="186"/>
      <c r="S70" s="183"/>
      <c r="T70" s="183"/>
      <c r="U70" s="183"/>
      <c r="V70" s="184"/>
      <c r="W70" s="186"/>
      <c r="X70" s="183"/>
      <c r="Y70" s="183"/>
      <c r="Z70" s="183"/>
      <c r="AA70" s="184"/>
      <c r="AB70" s="186"/>
      <c r="AC70" s="183"/>
      <c r="AD70" s="183"/>
      <c r="AE70" s="183"/>
      <c r="AF70" s="184"/>
      <c r="AG70" s="186"/>
      <c r="AH70" s="183"/>
      <c r="AI70" s="183"/>
      <c r="AJ70" s="183"/>
      <c r="AK70" s="184"/>
      <c r="AL70" s="186"/>
      <c r="AM70" s="183"/>
      <c r="AN70" s="186"/>
      <c r="AO70" s="183"/>
      <c r="AP70" s="183"/>
      <c r="AQ70" s="183"/>
      <c r="AR70" s="184"/>
      <c r="AS70" s="182">
        <v>0.5</v>
      </c>
      <c r="AT70" s="183"/>
      <c r="AU70" s="183"/>
      <c r="AV70" s="183"/>
      <c r="AW70" s="184"/>
      <c r="AX70" s="186"/>
      <c r="AY70" s="183"/>
      <c r="AZ70" s="183"/>
      <c r="BA70" s="183"/>
      <c r="BB70" s="184"/>
    </row>
    <row r="71" spans="2:54" ht="15" customHeight="1" thickBot="1" x14ac:dyDescent="0.3">
      <c r="B71" s="76"/>
      <c r="C71" s="56"/>
      <c r="D71" s="56"/>
      <c r="E71" s="57"/>
      <c r="F71" s="186"/>
      <c r="G71" s="183"/>
      <c r="H71" s="183"/>
      <c r="I71" s="183"/>
      <c r="J71" s="184"/>
      <c r="K71" s="186"/>
      <c r="L71" s="183"/>
      <c r="M71" s="183"/>
      <c r="N71" s="183"/>
      <c r="O71" s="184"/>
      <c r="P71" s="186"/>
      <c r="Q71" s="183"/>
      <c r="R71" s="186"/>
      <c r="S71" s="183"/>
      <c r="T71" s="183"/>
      <c r="U71" s="183"/>
      <c r="V71" s="184"/>
      <c r="W71" s="186"/>
      <c r="X71" s="183"/>
      <c r="Y71" s="183"/>
      <c r="Z71" s="183"/>
      <c r="AA71" s="184"/>
      <c r="AB71" s="186"/>
      <c r="AC71" s="183"/>
      <c r="AD71" s="183"/>
      <c r="AE71" s="183"/>
      <c r="AF71" s="184"/>
      <c r="AG71" s="186"/>
      <c r="AH71" s="183"/>
      <c r="AI71" s="183"/>
      <c r="AJ71" s="198">
        <v>0.75</v>
      </c>
      <c r="AK71" s="184"/>
      <c r="AL71" s="186"/>
      <c r="AM71" s="183"/>
      <c r="AN71" s="186"/>
      <c r="AO71" s="183"/>
      <c r="AP71" s="183"/>
      <c r="AQ71" s="183"/>
      <c r="AR71" s="184"/>
      <c r="AS71" s="186"/>
      <c r="AT71" s="183"/>
      <c r="AU71" s="183"/>
      <c r="AV71" s="183"/>
      <c r="AW71" s="184"/>
      <c r="AX71" s="186"/>
      <c r="AY71" s="183"/>
      <c r="AZ71" s="183"/>
      <c r="BA71" s="183"/>
      <c r="BB71" s="184"/>
    </row>
    <row r="72" spans="2:54" ht="15" customHeight="1" x14ac:dyDescent="0.25">
      <c r="B72" s="77" t="s">
        <v>15</v>
      </c>
      <c r="C72" s="79">
        <f>SUM(C74:C79)</f>
        <v>4.5</v>
      </c>
      <c r="D72" s="79">
        <f>SUM(D74:D79)</f>
        <v>4.25</v>
      </c>
      <c r="E72" s="79">
        <f>(C72-D72)</f>
        <v>0.25</v>
      </c>
      <c r="F72" s="243"/>
      <c r="G72" s="244"/>
      <c r="H72" s="244"/>
      <c r="I72" s="244"/>
      <c r="J72" s="244"/>
      <c r="K72" s="244"/>
      <c r="L72" s="244"/>
      <c r="M72" s="244"/>
      <c r="N72" s="244"/>
      <c r="O72" s="244"/>
      <c r="P72" s="244"/>
      <c r="Q72" s="244"/>
      <c r="R72" s="244"/>
      <c r="S72" s="244"/>
      <c r="T72" s="244"/>
      <c r="U72" s="244"/>
      <c r="V72" s="244"/>
      <c r="W72" s="244"/>
      <c r="X72" s="244"/>
      <c r="Y72" s="244"/>
      <c r="Z72" s="244"/>
      <c r="AA72" s="244"/>
      <c r="AB72" s="244"/>
      <c r="AC72" s="244"/>
      <c r="AD72" s="244"/>
      <c r="AE72" s="244"/>
      <c r="AF72" s="244"/>
      <c r="AG72" s="244"/>
      <c r="AH72" s="244"/>
      <c r="AI72" s="244"/>
      <c r="AJ72" s="244"/>
      <c r="AK72" s="244"/>
      <c r="AL72" s="244"/>
      <c r="AM72" s="244"/>
      <c r="AN72" s="244"/>
      <c r="AO72" s="244"/>
      <c r="AP72" s="244"/>
      <c r="AQ72" s="244"/>
      <c r="AR72" s="244"/>
      <c r="AS72" s="244"/>
      <c r="AT72" s="244"/>
      <c r="AU72" s="244"/>
      <c r="AV72" s="244"/>
      <c r="AW72" s="244"/>
      <c r="AX72" s="244"/>
      <c r="AY72" s="244"/>
      <c r="AZ72" s="244"/>
      <c r="BA72" s="244"/>
      <c r="BB72" s="245"/>
    </row>
    <row r="73" spans="2:54" ht="15" customHeight="1" thickBot="1" x14ac:dyDescent="0.3">
      <c r="B73" s="78"/>
      <c r="C73" s="80"/>
      <c r="D73" s="80"/>
      <c r="E73" s="81"/>
      <c r="F73" s="246"/>
      <c r="G73" s="247"/>
      <c r="H73" s="247"/>
      <c r="I73" s="247"/>
      <c r="J73" s="247"/>
      <c r="K73" s="247"/>
      <c r="L73" s="247"/>
      <c r="M73" s="247"/>
      <c r="N73" s="247"/>
      <c r="O73" s="247"/>
      <c r="P73" s="247"/>
      <c r="Q73" s="247"/>
      <c r="R73" s="247"/>
      <c r="S73" s="247"/>
      <c r="T73" s="247"/>
      <c r="U73" s="247"/>
      <c r="V73" s="247"/>
      <c r="W73" s="247"/>
      <c r="X73" s="247"/>
      <c r="Y73" s="247"/>
      <c r="Z73" s="247"/>
      <c r="AA73" s="247"/>
      <c r="AB73" s="247"/>
      <c r="AC73" s="247"/>
      <c r="AD73" s="247"/>
      <c r="AE73" s="247"/>
      <c r="AF73" s="247"/>
      <c r="AG73" s="247"/>
      <c r="AH73" s="247"/>
      <c r="AI73" s="247"/>
      <c r="AJ73" s="247"/>
      <c r="AK73" s="247"/>
      <c r="AL73" s="247"/>
      <c r="AM73" s="247"/>
      <c r="AN73" s="247"/>
      <c r="AO73" s="247"/>
      <c r="AP73" s="247"/>
      <c r="AQ73" s="247"/>
      <c r="AR73" s="247"/>
      <c r="AS73" s="247"/>
      <c r="AT73" s="247"/>
      <c r="AU73" s="247"/>
      <c r="AV73" s="247"/>
      <c r="AW73" s="247"/>
      <c r="AX73" s="247"/>
      <c r="AY73" s="247"/>
      <c r="AZ73" s="247"/>
      <c r="BA73" s="247"/>
      <c r="BB73" s="248"/>
    </row>
    <row r="74" spans="2:54" ht="15" customHeight="1" x14ac:dyDescent="0.25">
      <c r="B74" s="74" t="s">
        <v>64</v>
      </c>
      <c r="C74" s="44">
        <f>SUM(F74:BB74)</f>
        <v>1.5</v>
      </c>
      <c r="D74" s="44">
        <f>SUM(F75:BB75)</f>
        <v>1.5</v>
      </c>
      <c r="E74" s="65">
        <f>(AVERAGE(C74,C75)-AVERAGE(D74,D75) )</f>
        <v>0</v>
      </c>
      <c r="F74" s="193"/>
      <c r="G74" s="195"/>
      <c r="H74" s="195"/>
      <c r="I74" s="195"/>
      <c r="J74" s="196"/>
      <c r="K74" s="193"/>
      <c r="L74" s="195"/>
      <c r="M74" s="195"/>
      <c r="N74" s="195"/>
      <c r="O74" s="196"/>
      <c r="P74" s="193"/>
      <c r="Q74" s="195"/>
      <c r="R74" s="193"/>
      <c r="S74" s="195"/>
      <c r="T74" s="195"/>
      <c r="U74" s="195"/>
      <c r="V74" s="196"/>
      <c r="W74" s="193"/>
      <c r="X74" s="195"/>
      <c r="Y74" s="195"/>
      <c r="Z74" s="195"/>
      <c r="AA74" s="196"/>
      <c r="AB74" s="193"/>
      <c r="AC74" s="195"/>
      <c r="AD74" s="195"/>
      <c r="AE74" s="195"/>
      <c r="AF74" s="196"/>
      <c r="AG74" s="193"/>
      <c r="AH74" s="195"/>
      <c r="AI74" s="195"/>
      <c r="AJ74" s="195"/>
      <c r="AK74" s="196"/>
      <c r="AL74" s="193"/>
      <c r="AM74" s="195"/>
      <c r="AN74" s="193"/>
      <c r="AO74" s="195"/>
      <c r="AP74" s="195"/>
      <c r="AQ74" s="195"/>
      <c r="AR74" s="196"/>
      <c r="AS74" s="193"/>
      <c r="AT74" s="194">
        <v>1.5</v>
      </c>
      <c r="AU74" s="195"/>
      <c r="AV74" s="195"/>
      <c r="AW74" s="196"/>
      <c r="AX74" s="193"/>
      <c r="AY74" s="195"/>
      <c r="AZ74" s="195"/>
      <c r="BA74" s="195"/>
      <c r="BB74" s="196"/>
    </row>
    <row r="75" spans="2:54" ht="15" customHeight="1" x14ac:dyDescent="0.25">
      <c r="B75" s="72"/>
      <c r="C75" s="45"/>
      <c r="D75" s="45"/>
      <c r="E75" s="47"/>
      <c r="F75" s="191"/>
      <c r="G75" s="188"/>
      <c r="H75" s="188"/>
      <c r="I75" s="188"/>
      <c r="J75" s="189"/>
      <c r="K75" s="191"/>
      <c r="L75" s="188"/>
      <c r="M75" s="188"/>
      <c r="N75" s="188"/>
      <c r="O75" s="189"/>
      <c r="P75" s="191"/>
      <c r="Q75" s="188"/>
      <c r="R75" s="191"/>
      <c r="S75" s="188"/>
      <c r="T75" s="188"/>
      <c r="U75" s="188"/>
      <c r="V75" s="189"/>
      <c r="W75" s="191"/>
      <c r="X75" s="188"/>
      <c r="Y75" s="188"/>
      <c r="Z75" s="188"/>
      <c r="AA75" s="189"/>
      <c r="AB75" s="191"/>
      <c r="AC75" s="188"/>
      <c r="AD75" s="188"/>
      <c r="AE75" s="188"/>
      <c r="AF75" s="189"/>
      <c r="AG75" s="191"/>
      <c r="AH75" s="188"/>
      <c r="AI75" s="188"/>
      <c r="AJ75" s="188"/>
      <c r="AK75" s="189"/>
      <c r="AL75" s="197">
        <v>0.5</v>
      </c>
      <c r="AM75" s="192">
        <v>0.5</v>
      </c>
      <c r="AN75" s="197">
        <v>0.5</v>
      </c>
      <c r="AO75" s="188"/>
      <c r="AP75" s="188"/>
      <c r="AQ75" s="188"/>
      <c r="AR75" s="189"/>
      <c r="AS75" s="191"/>
      <c r="AT75" s="188"/>
      <c r="AU75" s="188"/>
      <c r="AV75" s="188"/>
      <c r="AW75" s="189"/>
      <c r="AX75" s="191"/>
      <c r="AY75" s="188"/>
      <c r="AZ75" s="188"/>
      <c r="BA75" s="188"/>
      <c r="BB75" s="189"/>
    </row>
    <row r="76" spans="2:54" ht="15" customHeight="1" x14ac:dyDescent="0.25">
      <c r="B76" s="71" t="s">
        <v>65</v>
      </c>
      <c r="C76" s="44">
        <f>SUM(F76:BB76)</f>
        <v>1.5</v>
      </c>
      <c r="D76" s="44">
        <f>SUM(F77:BB77)</f>
        <v>1.5</v>
      </c>
      <c r="E76" s="46">
        <f t="shared" ref="E76" si="4">(AVERAGE(C76,C77)-AVERAGE(D76,D77) )</f>
        <v>0</v>
      </c>
      <c r="F76" s="193"/>
      <c r="G76" s="195"/>
      <c r="H76" s="195"/>
      <c r="I76" s="195"/>
      <c r="J76" s="196"/>
      <c r="K76" s="193"/>
      <c r="L76" s="195"/>
      <c r="M76" s="195"/>
      <c r="N76" s="195"/>
      <c r="O76" s="196"/>
      <c r="P76" s="193"/>
      <c r="Q76" s="195"/>
      <c r="R76" s="193"/>
      <c r="S76" s="195"/>
      <c r="T76" s="195"/>
      <c r="U76" s="195"/>
      <c r="V76" s="196"/>
      <c r="W76" s="193"/>
      <c r="X76" s="195"/>
      <c r="Y76" s="195"/>
      <c r="Z76" s="195"/>
      <c r="AA76" s="196"/>
      <c r="AB76" s="193"/>
      <c r="AC76" s="195"/>
      <c r="AD76" s="195"/>
      <c r="AE76" s="195"/>
      <c r="AF76" s="196"/>
      <c r="AG76" s="193"/>
      <c r="AH76" s="195"/>
      <c r="AI76" s="195"/>
      <c r="AJ76" s="195"/>
      <c r="AK76" s="196"/>
      <c r="AL76" s="193"/>
      <c r="AM76" s="195"/>
      <c r="AN76" s="193"/>
      <c r="AO76" s="195"/>
      <c r="AP76" s="195"/>
      <c r="AQ76" s="195"/>
      <c r="AR76" s="196"/>
      <c r="AS76" s="193"/>
      <c r="AT76" s="195"/>
      <c r="AU76" s="194">
        <v>1.5</v>
      </c>
      <c r="AV76" s="195"/>
      <c r="AW76" s="196"/>
      <c r="AX76" s="193" t="s">
        <v>47</v>
      </c>
      <c r="AY76" s="195"/>
      <c r="AZ76" s="195"/>
      <c r="BA76" s="195"/>
      <c r="BB76" s="196"/>
    </row>
    <row r="77" spans="2:54" ht="15" customHeight="1" x14ac:dyDescent="0.25">
      <c r="B77" s="72"/>
      <c r="C77" s="45"/>
      <c r="D77" s="45"/>
      <c r="E77" s="47"/>
      <c r="F77" s="191"/>
      <c r="G77" s="188"/>
      <c r="H77" s="188"/>
      <c r="I77" s="188"/>
      <c r="J77" s="189"/>
      <c r="K77" s="191"/>
      <c r="L77" s="188"/>
      <c r="M77" s="188"/>
      <c r="N77" s="188"/>
      <c r="O77" s="189"/>
      <c r="P77" s="191"/>
      <c r="Q77" s="188"/>
      <c r="R77" s="191"/>
      <c r="S77" s="188"/>
      <c r="T77" s="188"/>
      <c r="U77" s="188"/>
      <c r="V77" s="189"/>
      <c r="W77" s="191"/>
      <c r="X77" s="188"/>
      <c r="Y77" s="188"/>
      <c r="Z77" s="188"/>
      <c r="AA77" s="189"/>
      <c r="AB77" s="191"/>
      <c r="AC77" s="188"/>
      <c r="AD77" s="188"/>
      <c r="AE77" s="188"/>
      <c r="AF77" s="189"/>
      <c r="AG77" s="191"/>
      <c r="AH77" s="188"/>
      <c r="AI77" s="188"/>
      <c r="AJ77" s="188"/>
      <c r="AK77" s="189"/>
      <c r="AL77" s="191"/>
      <c r="AM77" s="188"/>
      <c r="AN77" s="197">
        <v>1</v>
      </c>
      <c r="AO77" s="192">
        <v>0.5</v>
      </c>
      <c r="AP77" s="188"/>
      <c r="AQ77" s="188"/>
      <c r="AR77" s="189"/>
      <c r="AS77" s="191"/>
      <c r="AT77" s="188"/>
      <c r="AU77" s="188"/>
      <c r="AV77" s="188"/>
      <c r="AW77" s="189"/>
      <c r="AX77" s="191"/>
      <c r="AY77" s="188"/>
      <c r="AZ77" s="188"/>
      <c r="BA77" s="188"/>
      <c r="BB77" s="189"/>
    </row>
    <row r="78" spans="2:54" ht="15" customHeight="1" x14ac:dyDescent="0.25">
      <c r="B78" s="71" t="s">
        <v>41</v>
      </c>
      <c r="C78" s="44">
        <f>SUM(F78:BB78)</f>
        <v>1.5</v>
      </c>
      <c r="D78" s="44">
        <f>SUM(F79:BB79)</f>
        <v>1.25</v>
      </c>
      <c r="E78" s="46">
        <f>(AVERAGE(C78,C79)-AVERAGE(D78,D79) )</f>
        <v>0.25</v>
      </c>
      <c r="F78" s="186"/>
      <c r="G78" s="183"/>
      <c r="H78" s="183"/>
      <c r="I78" s="183"/>
      <c r="J78" s="184"/>
      <c r="K78" s="186"/>
      <c r="L78" s="183"/>
      <c r="M78" s="183"/>
      <c r="N78" s="183"/>
      <c r="O78" s="184"/>
      <c r="P78" s="186"/>
      <c r="Q78" s="183"/>
      <c r="R78" s="186"/>
      <c r="S78" s="183"/>
      <c r="T78" s="183"/>
      <c r="U78" s="183"/>
      <c r="V78" s="184"/>
      <c r="W78" s="186"/>
      <c r="X78" s="183"/>
      <c r="Y78" s="183"/>
      <c r="Z78" s="183"/>
      <c r="AA78" s="184"/>
      <c r="AB78" s="186"/>
      <c r="AC78" s="183"/>
      <c r="AD78" s="183"/>
      <c r="AE78" s="183"/>
      <c r="AF78" s="184"/>
      <c r="AG78" s="186"/>
      <c r="AH78" s="183"/>
      <c r="AI78" s="183"/>
      <c r="AJ78" s="183"/>
      <c r="AK78" s="184"/>
      <c r="AL78" s="186"/>
      <c r="AM78" s="183"/>
      <c r="AN78" s="186"/>
      <c r="AO78" s="183"/>
      <c r="AP78" s="183"/>
      <c r="AQ78" s="183"/>
      <c r="AR78" s="184"/>
      <c r="AS78" s="186"/>
      <c r="AT78" s="183"/>
      <c r="AU78" s="183"/>
      <c r="AV78" s="205">
        <v>1.5</v>
      </c>
      <c r="AW78" s="184"/>
      <c r="AX78" s="186"/>
      <c r="AY78" s="183"/>
      <c r="AZ78" s="183"/>
      <c r="BA78" s="183"/>
      <c r="BB78" s="184"/>
    </row>
    <row r="79" spans="2:54" ht="15" customHeight="1" thickBot="1" x14ac:dyDescent="0.3">
      <c r="B79" s="73"/>
      <c r="C79" s="56"/>
      <c r="D79" s="56"/>
      <c r="E79" s="57"/>
      <c r="F79" s="186"/>
      <c r="G79" s="183"/>
      <c r="H79" s="183"/>
      <c r="I79" s="183"/>
      <c r="J79" s="184"/>
      <c r="K79" s="186"/>
      <c r="L79" s="183"/>
      <c r="M79" s="183"/>
      <c r="N79" s="183"/>
      <c r="O79" s="184"/>
      <c r="P79" s="186"/>
      <c r="Q79" s="183"/>
      <c r="R79" s="186"/>
      <c r="S79" s="183"/>
      <c r="T79" s="183"/>
      <c r="U79" s="183"/>
      <c r="V79" s="184"/>
      <c r="W79" s="186"/>
      <c r="X79" s="183"/>
      <c r="Y79" s="183"/>
      <c r="Z79" s="183"/>
      <c r="AA79" s="184"/>
      <c r="AB79" s="186"/>
      <c r="AC79" s="183"/>
      <c r="AD79" s="183"/>
      <c r="AE79" s="183"/>
      <c r="AF79" s="184"/>
      <c r="AG79" s="186"/>
      <c r="AH79" s="183"/>
      <c r="AI79" s="183"/>
      <c r="AJ79" s="183"/>
      <c r="AK79" s="184"/>
      <c r="AL79" s="186"/>
      <c r="AM79" s="183"/>
      <c r="AN79" s="186"/>
      <c r="AO79" s="198">
        <v>1.25</v>
      </c>
      <c r="AP79" s="183"/>
      <c r="AQ79" s="183"/>
      <c r="AR79" s="184"/>
      <c r="AS79" s="186"/>
      <c r="AT79" s="183"/>
      <c r="AU79" s="183"/>
      <c r="AV79" s="183"/>
      <c r="AW79" s="184"/>
      <c r="AX79" s="186"/>
      <c r="AY79" s="183"/>
      <c r="AZ79" s="183"/>
      <c r="BA79" s="183"/>
      <c r="BB79" s="184"/>
    </row>
    <row r="80" spans="2:54" ht="15" customHeight="1" x14ac:dyDescent="0.25">
      <c r="B80" s="66" t="s">
        <v>16</v>
      </c>
      <c r="C80" s="68">
        <f>SUM(C82:C91)</f>
        <v>6</v>
      </c>
      <c r="D80" s="68">
        <f>SUM(D82:D91)</f>
        <v>15.75</v>
      </c>
      <c r="E80" s="68">
        <f>(C80-D80)</f>
        <v>-9.75</v>
      </c>
      <c r="F80" s="199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0"/>
      <c r="Y80" s="200"/>
      <c r="Z80" s="200"/>
      <c r="AA80" s="200"/>
      <c r="AB80" s="200"/>
      <c r="AC80" s="200"/>
      <c r="AD80" s="200"/>
      <c r="AE80" s="200"/>
      <c r="AF80" s="200"/>
      <c r="AG80" s="200"/>
      <c r="AH80" s="200"/>
      <c r="AI80" s="200"/>
      <c r="AJ80" s="200"/>
      <c r="AK80" s="200"/>
      <c r="AL80" s="200"/>
      <c r="AM80" s="200"/>
      <c r="AN80" s="200"/>
      <c r="AO80" s="200"/>
      <c r="AP80" s="200"/>
      <c r="AQ80" s="200"/>
      <c r="AR80" s="200"/>
      <c r="AS80" s="200"/>
      <c r="AT80" s="200"/>
      <c r="AU80" s="200"/>
      <c r="AV80" s="200"/>
      <c r="AW80" s="200"/>
      <c r="AX80" s="200"/>
      <c r="AY80" s="200"/>
      <c r="AZ80" s="200"/>
      <c r="BA80" s="200"/>
      <c r="BB80" s="201"/>
    </row>
    <row r="81" spans="2:54" ht="15" customHeight="1" thickBot="1" x14ac:dyDescent="0.3">
      <c r="B81" s="67"/>
      <c r="C81" s="69"/>
      <c r="D81" s="69"/>
      <c r="E81" s="70"/>
      <c r="F81" s="202"/>
      <c r="G81" s="203"/>
      <c r="H81" s="203"/>
      <c r="I81" s="203"/>
      <c r="J81" s="203"/>
      <c r="K81" s="203"/>
      <c r="L81" s="203"/>
      <c r="M81" s="203"/>
      <c r="N81" s="203"/>
      <c r="O81" s="203"/>
      <c r="P81" s="203"/>
      <c r="Q81" s="203"/>
      <c r="R81" s="203"/>
      <c r="S81" s="203"/>
      <c r="T81" s="203"/>
      <c r="U81" s="203"/>
      <c r="V81" s="203"/>
      <c r="W81" s="203"/>
      <c r="X81" s="203"/>
      <c r="Y81" s="203"/>
      <c r="Z81" s="203"/>
      <c r="AA81" s="203"/>
      <c r="AB81" s="203"/>
      <c r="AC81" s="203"/>
      <c r="AD81" s="203"/>
      <c r="AE81" s="203"/>
      <c r="AF81" s="203"/>
      <c r="AG81" s="203"/>
      <c r="AH81" s="203"/>
      <c r="AI81" s="203"/>
      <c r="AJ81" s="203"/>
      <c r="AK81" s="203"/>
      <c r="AL81" s="203"/>
      <c r="AM81" s="203"/>
      <c r="AN81" s="203"/>
      <c r="AO81" s="203"/>
      <c r="AP81" s="203"/>
      <c r="AQ81" s="203"/>
      <c r="AR81" s="203"/>
      <c r="AS81" s="203"/>
      <c r="AT81" s="203"/>
      <c r="AU81" s="203"/>
      <c r="AV81" s="203"/>
      <c r="AW81" s="203"/>
      <c r="AX81" s="203"/>
      <c r="AY81" s="203"/>
      <c r="AZ81" s="203"/>
      <c r="BA81" s="203"/>
      <c r="BB81" s="204"/>
    </row>
    <row r="82" spans="2:54" ht="15" customHeight="1" x14ac:dyDescent="0.25">
      <c r="B82" s="64" t="s">
        <v>42</v>
      </c>
      <c r="C82" s="44">
        <f>SUM(F82:BB82)</f>
        <v>0.5</v>
      </c>
      <c r="D82" s="44">
        <f>SUM(F83:BB83)</f>
        <v>0.75</v>
      </c>
      <c r="E82" s="65">
        <f>(AVERAGE(C82,C83)-AVERAGE(D82,D83) )</f>
        <v>-0.25</v>
      </c>
      <c r="F82" s="231"/>
      <c r="G82" s="232"/>
      <c r="H82" s="232"/>
      <c r="I82" s="232"/>
      <c r="J82" s="233"/>
      <c r="K82" s="231"/>
      <c r="L82" s="232"/>
      <c r="M82" s="232"/>
      <c r="N82" s="232"/>
      <c r="O82" s="233"/>
      <c r="P82" s="231"/>
      <c r="Q82" s="232"/>
      <c r="R82" s="231"/>
      <c r="S82" s="232"/>
      <c r="T82" s="232"/>
      <c r="U82" s="232"/>
      <c r="V82" s="233"/>
      <c r="W82" s="231"/>
      <c r="X82" s="232"/>
      <c r="Y82" s="232"/>
      <c r="Z82" s="232"/>
      <c r="AA82" s="233"/>
      <c r="AB82" s="231"/>
      <c r="AC82" s="232"/>
      <c r="AD82" s="232"/>
      <c r="AE82" s="232"/>
      <c r="AF82" s="233"/>
      <c r="AG82" s="231"/>
      <c r="AH82" s="232"/>
      <c r="AI82" s="232"/>
      <c r="AJ82" s="232"/>
      <c r="AK82" s="233"/>
      <c r="AL82" s="231"/>
      <c r="AM82" s="232"/>
      <c r="AN82" s="231"/>
      <c r="AO82" s="232"/>
      <c r="AP82" s="232"/>
      <c r="AQ82" s="232"/>
      <c r="AR82" s="233"/>
      <c r="AS82" s="231"/>
      <c r="AT82" s="232"/>
      <c r="AU82" s="232"/>
      <c r="AV82" s="232"/>
      <c r="AW82" s="233"/>
      <c r="AX82" s="241">
        <v>0.5</v>
      </c>
      <c r="AY82" s="232"/>
      <c r="AZ82" s="232"/>
      <c r="BA82" s="232"/>
      <c r="BB82" s="233"/>
    </row>
    <row r="83" spans="2:54" ht="15" customHeight="1" x14ac:dyDescent="0.25">
      <c r="B83" s="43"/>
      <c r="C83" s="45"/>
      <c r="D83" s="45"/>
      <c r="E83" s="47"/>
      <c r="F83" s="191"/>
      <c r="G83" s="188"/>
      <c r="H83" s="188"/>
      <c r="I83" s="188"/>
      <c r="J83" s="189"/>
      <c r="K83" s="191"/>
      <c r="L83" s="188"/>
      <c r="M83" s="188"/>
      <c r="N83" s="188"/>
      <c r="O83" s="189"/>
      <c r="P83" s="191"/>
      <c r="Q83" s="188"/>
      <c r="R83" s="191"/>
      <c r="S83" s="188"/>
      <c r="T83" s="188"/>
      <c r="U83" s="188"/>
      <c r="V83" s="189"/>
      <c r="W83" s="191"/>
      <c r="X83" s="188"/>
      <c r="Y83" s="188"/>
      <c r="Z83" s="188"/>
      <c r="AA83" s="189"/>
      <c r="AB83" s="191"/>
      <c r="AC83" s="188"/>
      <c r="AD83" s="188"/>
      <c r="AE83" s="188"/>
      <c r="AF83" s="189"/>
      <c r="AG83" s="191"/>
      <c r="AH83" s="188"/>
      <c r="AI83" s="188"/>
      <c r="AJ83" s="188"/>
      <c r="AK83" s="189"/>
      <c r="AL83" s="191"/>
      <c r="AM83" s="188"/>
      <c r="AN83" s="191"/>
      <c r="AO83" s="188"/>
      <c r="AP83" s="192">
        <v>0.75</v>
      </c>
      <c r="AQ83" s="188"/>
      <c r="AR83" s="189"/>
      <c r="AS83" s="191"/>
      <c r="AT83" s="188"/>
      <c r="AU83" s="188"/>
      <c r="AV83" s="188"/>
      <c r="AW83" s="189"/>
      <c r="AX83" s="191"/>
      <c r="AY83" s="188"/>
      <c r="AZ83" s="188"/>
      <c r="BA83" s="188"/>
      <c r="BB83" s="189"/>
    </row>
    <row r="84" spans="2:54" ht="15" customHeight="1" x14ac:dyDescent="0.25">
      <c r="B84" s="42" t="s">
        <v>43</v>
      </c>
      <c r="C84" s="44">
        <f>SUM(F84:BB84)</f>
        <v>2</v>
      </c>
      <c r="D84" s="44">
        <f>SUM(F85:BB85)</f>
        <v>1</v>
      </c>
      <c r="E84" s="46">
        <f t="shared" ref="E84:E88" si="5">(AVERAGE(C84,C85)-AVERAGE(D84,D85) )</f>
        <v>1</v>
      </c>
      <c r="F84" s="186"/>
      <c r="G84" s="183"/>
      <c r="H84" s="183"/>
      <c r="I84" s="183"/>
      <c r="J84" s="184"/>
      <c r="K84" s="186"/>
      <c r="L84" s="183"/>
      <c r="M84" s="183"/>
      <c r="N84" s="183"/>
      <c r="O84" s="184"/>
      <c r="P84" s="186"/>
      <c r="Q84" s="183"/>
      <c r="R84" s="186"/>
      <c r="S84" s="183"/>
      <c r="T84" s="183"/>
      <c r="U84" s="183"/>
      <c r="V84" s="184"/>
      <c r="W84" s="186"/>
      <c r="X84" s="183"/>
      <c r="Y84" s="183"/>
      <c r="Z84" s="183"/>
      <c r="AA84" s="184"/>
      <c r="AB84" s="186"/>
      <c r="AC84" s="183"/>
      <c r="AD84" s="183"/>
      <c r="AE84" s="183"/>
      <c r="AF84" s="184"/>
      <c r="AG84" s="186"/>
      <c r="AH84" s="183"/>
      <c r="AI84" s="183"/>
      <c r="AJ84" s="183"/>
      <c r="AK84" s="184"/>
      <c r="AL84" s="186"/>
      <c r="AM84" s="183"/>
      <c r="AN84" s="186"/>
      <c r="AO84" s="183"/>
      <c r="AP84" s="183"/>
      <c r="AQ84" s="183"/>
      <c r="AR84" s="184"/>
      <c r="AS84" s="186"/>
      <c r="AT84" s="183"/>
      <c r="AU84" s="183"/>
      <c r="AV84" s="183"/>
      <c r="AW84" s="184"/>
      <c r="AX84" s="182">
        <v>1</v>
      </c>
      <c r="AY84" s="205">
        <v>1</v>
      </c>
      <c r="AZ84" s="183"/>
      <c r="BA84" s="183"/>
      <c r="BB84" s="184"/>
    </row>
    <row r="85" spans="2:54" ht="15" customHeight="1" x14ac:dyDescent="0.25">
      <c r="B85" s="43"/>
      <c r="C85" s="45"/>
      <c r="D85" s="45"/>
      <c r="E85" s="47"/>
      <c r="F85" s="191"/>
      <c r="G85" s="188"/>
      <c r="H85" s="188"/>
      <c r="I85" s="188"/>
      <c r="J85" s="189"/>
      <c r="K85" s="191"/>
      <c r="L85" s="188"/>
      <c r="M85" s="188"/>
      <c r="N85" s="188"/>
      <c r="O85" s="189"/>
      <c r="P85" s="191"/>
      <c r="Q85" s="188"/>
      <c r="R85" s="191"/>
      <c r="S85" s="188"/>
      <c r="T85" s="188"/>
      <c r="U85" s="188"/>
      <c r="V85" s="189"/>
      <c r="W85" s="191"/>
      <c r="X85" s="188"/>
      <c r="Y85" s="188"/>
      <c r="Z85" s="188"/>
      <c r="AA85" s="189"/>
      <c r="AB85" s="191"/>
      <c r="AC85" s="188"/>
      <c r="AD85" s="188"/>
      <c r="AE85" s="188"/>
      <c r="AF85" s="189"/>
      <c r="AG85" s="191"/>
      <c r="AH85" s="188"/>
      <c r="AI85" s="188"/>
      <c r="AJ85" s="188"/>
      <c r="AK85" s="189"/>
      <c r="AL85" s="191"/>
      <c r="AM85" s="188"/>
      <c r="AN85" s="191"/>
      <c r="AO85" s="188"/>
      <c r="AP85" s="192">
        <v>1</v>
      </c>
      <c r="AQ85" s="188"/>
      <c r="AR85" s="189"/>
      <c r="AS85" s="191"/>
      <c r="AT85" s="188"/>
      <c r="AU85" s="188"/>
      <c r="AV85" s="188"/>
      <c r="AW85" s="189"/>
      <c r="AX85" s="191"/>
      <c r="AY85" s="188"/>
      <c r="AZ85" s="188"/>
      <c r="BA85" s="188"/>
      <c r="BB85" s="189"/>
    </row>
    <row r="86" spans="2:54" ht="15" customHeight="1" x14ac:dyDescent="0.25">
      <c r="B86" s="42" t="s">
        <v>44</v>
      </c>
      <c r="C86" s="44">
        <f>SUM(F86:BB86)</f>
        <v>1</v>
      </c>
      <c r="D86" s="44">
        <f>SUM(F87:BB87)</f>
        <v>11.5</v>
      </c>
      <c r="E86" s="46">
        <f t="shared" si="5"/>
        <v>-10.5</v>
      </c>
      <c r="F86" s="193"/>
      <c r="G86" s="195"/>
      <c r="H86" s="195"/>
      <c r="I86" s="195"/>
      <c r="J86" s="196"/>
      <c r="K86" s="193"/>
      <c r="L86" s="195"/>
      <c r="M86" s="195"/>
      <c r="N86" s="195"/>
      <c r="O86" s="196"/>
      <c r="P86" s="193"/>
      <c r="Q86" s="195"/>
      <c r="R86" s="193"/>
      <c r="S86" s="195"/>
      <c r="T86" s="195"/>
      <c r="U86" s="195"/>
      <c r="V86" s="196"/>
      <c r="W86" s="193"/>
      <c r="X86" s="195"/>
      <c r="Y86" s="195"/>
      <c r="Z86" s="195"/>
      <c r="AA86" s="196"/>
      <c r="AB86" s="193"/>
      <c r="AC86" s="195"/>
      <c r="AD86" s="195"/>
      <c r="AE86" s="195"/>
      <c r="AF86" s="196"/>
      <c r="AG86" s="193"/>
      <c r="AH86" s="195"/>
      <c r="AI86" s="195"/>
      <c r="AJ86" s="195"/>
      <c r="AK86" s="196"/>
      <c r="AL86" s="193"/>
      <c r="AM86" s="195"/>
      <c r="AN86" s="193"/>
      <c r="AO86" s="195"/>
      <c r="AP86" s="195"/>
      <c r="AQ86" s="195"/>
      <c r="AR86" s="196"/>
      <c r="AS86" s="193"/>
      <c r="AT86" s="195"/>
      <c r="AU86" s="195"/>
      <c r="AV86" s="195"/>
      <c r="AW86" s="196"/>
      <c r="AX86" s="193"/>
      <c r="AY86" s="194">
        <v>0.5</v>
      </c>
      <c r="AZ86" s="194">
        <v>0.5</v>
      </c>
      <c r="BA86" s="195"/>
      <c r="BB86" s="196"/>
    </row>
    <row r="87" spans="2:54" ht="15" customHeight="1" x14ac:dyDescent="0.25">
      <c r="B87" s="43"/>
      <c r="C87" s="45"/>
      <c r="D87" s="45"/>
      <c r="E87" s="47"/>
      <c r="F87" s="191"/>
      <c r="G87" s="188"/>
      <c r="H87" s="188"/>
      <c r="I87" s="188"/>
      <c r="J87" s="189"/>
      <c r="K87" s="191"/>
      <c r="L87" s="188"/>
      <c r="M87" s="188"/>
      <c r="N87" s="188"/>
      <c r="O87" s="189"/>
      <c r="P87" s="191"/>
      <c r="Q87" s="188"/>
      <c r="R87" s="191"/>
      <c r="S87" s="188"/>
      <c r="T87" s="188"/>
      <c r="U87" s="188"/>
      <c r="V87" s="189"/>
      <c r="W87" s="191"/>
      <c r="X87" s="188"/>
      <c r="Y87" s="188"/>
      <c r="Z87" s="188"/>
      <c r="AA87" s="189"/>
      <c r="AB87" s="191"/>
      <c r="AC87" s="188"/>
      <c r="AD87" s="188"/>
      <c r="AE87" s="188"/>
      <c r="AF87" s="189"/>
      <c r="AG87" s="191"/>
      <c r="AH87" s="188"/>
      <c r="AI87" s="188"/>
      <c r="AJ87" s="188"/>
      <c r="AK87" s="189"/>
      <c r="AL87" s="191"/>
      <c r="AM87" s="188"/>
      <c r="AN87" s="191"/>
      <c r="AO87" s="188"/>
      <c r="AP87" s="188"/>
      <c r="AQ87" s="192">
        <v>1.5</v>
      </c>
      <c r="AR87" s="189"/>
      <c r="AS87" s="197">
        <v>0.5</v>
      </c>
      <c r="AT87" s="188"/>
      <c r="AU87" s="192">
        <v>1.5</v>
      </c>
      <c r="AV87" s="192">
        <v>2</v>
      </c>
      <c r="AW87" s="189"/>
      <c r="AX87" s="197">
        <v>2</v>
      </c>
      <c r="AY87" s="192">
        <v>2</v>
      </c>
      <c r="AZ87" s="192">
        <v>1.5</v>
      </c>
      <c r="BA87" s="192">
        <v>0.5</v>
      </c>
      <c r="BB87" s="189"/>
    </row>
    <row r="88" spans="2:54" ht="15" customHeight="1" x14ac:dyDescent="0.25">
      <c r="B88" s="42" t="s">
        <v>45</v>
      </c>
      <c r="C88" s="44">
        <f>SUM(F88:BB88)</f>
        <v>2</v>
      </c>
      <c r="D88" s="44">
        <f>SUM(F89:BB89)</f>
        <v>1.5</v>
      </c>
      <c r="E88" s="46">
        <f t="shared" si="5"/>
        <v>0.5</v>
      </c>
      <c r="F88" s="193"/>
      <c r="G88" s="195"/>
      <c r="H88" s="195"/>
      <c r="I88" s="195"/>
      <c r="J88" s="196"/>
      <c r="K88" s="193"/>
      <c r="L88" s="195"/>
      <c r="M88" s="195"/>
      <c r="N88" s="195"/>
      <c r="O88" s="196"/>
      <c r="P88" s="193"/>
      <c r="Q88" s="195"/>
      <c r="R88" s="193"/>
      <c r="S88" s="195"/>
      <c r="T88" s="195"/>
      <c r="U88" s="195"/>
      <c r="V88" s="196"/>
      <c r="W88" s="193"/>
      <c r="X88" s="195"/>
      <c r="Y88" s="195"/>
      <c r="Z88" s="195"/>
      <c r="AA88" s="196"/>
      <c r="AB88" s="193"/>
      <c r="AC88" s="195"/>
      <c r="AD88" s="195"/>
      <c r="AE88" s="195"/>
      <c r="AF88" s="196"/>
      <c r="AG88" s="193"/>
      <c r="AH88" s="195"/>
      <c r="AI88" s="195"/>
      <c r="AJ88" s="195"/>
      <c r="AK88" s="196"/>
      <c r="AL88" s="193"/>
      <c r="AM88" s="195"/>
      <c r="AN88" s="193"/>
      <c r="AO88" s="195"/>
      <c r="AP88" s="195"/>
      <c r="AQ88" s="195"/>
      <c r="AR88" s="196"/>
      <c r="AS88" s="193"/>
      <c r="AT88" s="195"/>
      <c r="AU88" s="195"/>
      <c r="AV88" s="195"/>
      <c r="AW88" s="196"/>
      <c r="AX88" s="193"/>
      <c r="AY88" s="195"/>
      <c r="AZ88" s="194">
        <v>1</v>
      </c>
      <c r="BA88" s="194">
        <v>1</v>
      </c>
      <c r="BB88" s="196"/>
    </row>
    <row r="89" spans="2:54" ht="15" customHeight="1" x14ac:dyDescent="0.25">
      <c r="B89" s="43"/>
      <c r="C89" s="45"/>
      <c r="D89" s="45"/>
      <c r="E89" s="47"/>
      <c r="F89" s="191"/>
      <c r="G89" s="188"/>
      <c r="H89" s="188"/>
      <c r="I89" s="188"/>
      <c r="J89" s="189"/>
      <c r="K89" s="191"/>
      <c r="L89" s="188"/>
      <c r="M89" s="188"/>
      <c r="N89" s="188"/>
      <c r="O89" s="189"/>
      <c r="P89" s="191"/>
      <c r="Q89" s="188"/>
      <c r="R89" s="191"/>
      <c r="S89" s="188"/>
      <c r="T89" s="188"/>
      <c r="U89" s="188"/>
      <c r="V89" s="189"/>
      <c r="W89" s="191"/>
      <c r="X89" s="188"/>
      <c r="Y89" s="188"/>
      <c r="Z89" s="188"/>
      <c r="AA89" s="189"/>
      <c r="AB89" s="191"/>
      <c r="AC89" s="188"/>
      <c r="AD89" s="188"/>
      <c r="AE89" s="188"/>
      <c r="AF89" s="189"/>
      <c r="AG89" s="191"/>
      <c r="AH89" s="188"/>
      <c r="AI89" s="188"/>
      <c r="AJ89" s="188"/>
      <c r="AK89" s="189"/>
      <c r="AL89" s="191"/>
      <c r="AM89" s="188"/>
      <c r="AN89" s="191"/>
      <c r="AO89" s="188"/>
      <c r="AP89" s="188"/>
      <c r="AQ89" s="188"/>
      <c r="AR89" s="189"/>
      <c r="AS89" s="191"/>
      <c r="AT89" s="192">
        <v>1.5</v>
      </c>
      <c r="AU89" s="188"/>
      <c r="AV89" s="188"/>
      <c r="AW89" s="189"/>
      <c r="AX89" s="191"/>
      <c r="AY89" s="188"/>
      <c r="AZ89" s="188"/>
      <c r="BA89" s="188"/>
      <c r="BB89" s="189"/>
    </row>
    <row r="90" spans="2:54" ht="15" customHeight="1" x14ac:dyDescent="0.25">
      <c r="B90" s="42" t="s">
        <v>46</v>
      </c>
      <c r="C90" s="44">
        <f>SUM(F90:BB90)</f>
        <v>0.5</v>
      </c>
      <c r="D90" s="44">
        <f>SUM(F91:BB91)</f>
        <v>1</v>
      </c>
      <c r="E90" s="46">
        <f>(AVERAGE(C90,C91)-AVERAGE(D90,D91) )</f>
        <v>-0.5</v>
      </c>
      <c r="F90" s="186"/>
      <c r="G90" s="183"/>
      <c r="H90" s="183"/>
      <c r="I90" s="183"/>
      <c r="J90" s="184"/>
      <c r="K90" s="186"/>
      <c r="L90" s="183"/>
      <c r="M90" s="183"/>
      <c r="N90" s="183"/>
      <c r="O90" s="184"/>
      <c r="P90" s="186"/>
      <c r="Q90" s="183"/>
      <c r="R90" s="186"/>
      <c r="S90" s="183"/>
      <c r="T90" s="183"/>
      <c r="U90" s="183"/>
      <c r="V90" s="184"/>
      <c r="W90" s="186"/>
      <c r="X90" s="183"/>
      <c r="Y90" s="183"/>
      <c r="Z90" s="183"/>
      <c r="AA90" s="184"/>
      <c r="AB90" s="186"/>
      <c r="AC90" s="183"/>
      <c r="AD90" s="183"/>
      <c r="AE90" s="183"/>
      <c r="AF90" s="184"/>
      <c r="AG90" s="186"/>
      <c r="AH90" s="183"/>
      <c r="AI90" s="183"/>
      <c r="AJ90" s="183"/>
      <c r="AK90" s="184"/>
      <c r="AL90" s="186"/>
      <c r="AM90" s="183"/>
      <c r="AN90" s="186"/>
      <c r="AO90" s="183"/>
      <c r="AP90" s="183"/>
      <c r="AQ90" s="183"/>
      <c r="AR90" s="184"/>
      <c r="AS90" s="186"/>
      <c r="AT90" s="183"/>
      <c r="AU90" s="183"/>
      <c r="AV90" s="183"/>
      <c r="AW90" s="184"/>
      <c r="AX90" s="186"/>
      <c r="AY90" s="183"/>
      <c r="AZ90" s="183"/>
      <c r="BA90" s="205">
        <v>0.5</v>
      </c>
      <c r="BB90" s="184"/>
    </row>
    <row r="91" spans="2:54" ht="15" customHeight="1" thickBot="1" x14ac:dyDescent="0.3">
      <c r="B91" s="55"/>
      <c r="C91" s="56"/>
      <c r="D91" s="56"/>
      <c r="E91" s="57"/>
      <c r="F91" s="186"/>
      <c r="G91" s="183"/>
      <c r="H91" s="183"/>
      <c r="I91" s="183"/>
      <c r="J91" s="184"/>
      <c r="K91" s="186"/>
      <c r="L91" s="183"/>
      <c r="M91" s="183"/>
      <c r="N91" s="183"/>
      <c r="O91" s="184"/>
      <c r="P91" s="186"/>
      <c r="Q91" s="183"/>
      <c r="R91" s="186"/>
      <c r="S91" s="183"/>
      <c r="T91" s="183"/>
      <c r="U91" s="183"/>
      <c r="V91" s="184"/>
      <c r="W91" s="186"/>
      <c r="X91" s="183"/>
      <c r="Y91" s="183"/>
      <c r="Z91" s="183"/>
      <c r="AA91" s="184"/>
      <c r="AB91" s="186"/>
      <c r="AC91" s="183"/>
      <c r="AD91" s="183"/>
      <c r="AE91" s="183"/>
      <c r="AF91" s="184"/>
      <c r="AG91" s="186"/>
      <c r="AH91" s="183"/>
      <c r="AI91" s="183"/>
      <c r="AJ91" s="183"/>
      <c r="AK91" s="184"/>
      <c r="AL91" s="186"/>
      <c r="AM91" s="183"/>
      <c r="AN91" s="186"/>
      <c r="AO91" s="183"/>
      <c r="AP91" s="183"/>
      <c r="AQ91" s="183"/>
      <c r="AR91" s="184"/>
      <c r="AS91" s="186"/>
      <c r="AT91" s="183"/>
      <c r="AU91" s="183"/>
      <c r="AV91" s="183"/>
      <c r="AW91" s="184"/>
      <c r="AX91" s="186"/>
      <c r="AY91" s="183"/>
      <c r="AZ91" s="183"/>
      <c r="BA91" s="198">
        <v>1</v>
      </c>
      <c r="BB91" s="184"/>
    </row>
    <row r="92" spans="2:54" ht="15" customHeight="1" x14ac:dyDescent="0.25">
      <c r="B92" s="58" t="s">
        <v>60</v>
      </c>
      <c r="C92" s="60">
        <f>SUM(C94,C96)</f>
        <v>21</v>
      </c>
      <c r="D92" s="62">
        <f>SUM(D94:D97)</f>
        <v>20.5</v>
      </c>
      <c r="E92" s="62">
        <f>(C92-D92)</f>
        <v>0.5</v>
      </c>
      <c r="F92" s="249"/>
      <c r="G92" s="250"/>
      <c r="H92" s="250"/>
      <c r="I92" s="250"/>
      <c r="J92" s="250"/>
      <c r="K92" s="250"/>
      <c r="L92" s="250"/>
      <c r="M92" s="250"/>
      <c r="N92" s="250"/>
      <c r="O92" s="250"/>
      <c r="P92" s="250"/>
      <c r="Q92" s="250"/>
      <c r="R92" s="250"/>
      <c r="S92" s="250"/>
      <c r="T92" s="250"/>
      <c r="U92" s="250"/>
      <c r="V92" s="250"/>
      <c r="W92" s="250"/>
      <c r="X92" s="250"/>
      <c r="Y92" s="250"/>
      <c r="Z92" s="250"/>
      <c r="AA92" s="250"/>
      <c r="AB92" s="250"/>
      <c r="AC92" s="250"/>
      <c r="AD92" s="250"/>
      <c r="AE92" s="250"/>
      <c r="AF92" s="250"/>
      <c r="AG92" s="250"/>
      <c r="AH92" s="250"/>
      <c r="AI92" s="250"/>
      <c r="AJ92" s="250"/>
      <c r="AK92" s="250"/>
      <c r="AL92" s="250"/>
      <c r="AM92" s="250"/>
      <c r="AN92" s="250"/>
      <c r="AO92" s="250"/>
      <c r="AP92" s="250"/>
      <c r="AQ92" s="250"/>
      <c r="AR92" s="250"/>
      <c r="AS92" s="250"/>
      <c r="AT92" s="250"/>
      <c r="AU92" s="250"/>
      <c r="AV92" s="250"/>
      <c r="AW92" s="250"/>
      <c r="AX92" s="250"/>
      <c r="AY92" s="250"/>
      <c r="AZ92" s="250"/>
      <c r="BA92" s="250"/>
      <c r="BB92" s="251"/>
    </row>
    <row r="93" spans="2:54" ht="15" customHeight="1" thickBot="1" x14ac:dyDescent="0.3">
      <c r="B93" s="59"/>
      <c r="C93" s="61"/>
      <c r="D93" s="63"/>
      <c r="E93" s="63"/>
      <c r="F93" s="252"/>
      <c r="G93" s="253"/>
      <c r="H93" s="253"/>
      <c r="I93" s="253"/>
      <c r="J93" s="253"/>
      <c r="K93" s="253"/>
      <c r="L93" s="253"/>
      <c r="M93" s="253"/>
      <c r="N93" s="253"/>
      <c r="O93" s="253"/>
      <c r="P93" s="253"/>
      <c r="Q93" s="253"/>
      <c r="R93" s="253"/>
      <c r="S93" s="253"/>
      <c r="T93" s="253"/>
      <c r="U93" s="253"/>
      <c r="V93" s="253"/>
      <c r="W93" s="253"/>
      <c r="X93" s="253"/>
      <c r="Y93" s="253"/>
      <c r="Z93" s="253"/>
      <c r="AA93" s="253"/>
      <c r="AB93" s="253"/>
      <c r="AC93" s="253"/>
      <c r="AD93" s="253"/>
      <c r="AE93" s="253"/>
      <c r="AF93" s="253"/>
      <c r="AG93" s="253"/>
      <c r="AH93" s="253"/>
      <c r="AI93" s="253"/>
      <c r="AJ93" s="253"/>
      <c r="AK93" s="253"/>
      <c r="AL93" s="253"/>
      <c r="AM93" s="253"/>
      <c r="AN93" s="253"/>
      <c r="AO93" s="253"/>
      <c r="AP93" s="253"/>
      <c r="AQ93" s="253"/>
      <c r="AR93" s="253"/>
      <c r="AS93" s="253"/>
      <c r="AT93" s="253"/>
      <c r="AU93" s="253"/>
      <c r="AV93" s="253"/>
      <c r="AW93" s="253"/>
      <c r="AX93" s="253"/>
      <c r="AY93" s="253"/>
      <c r="AZ93" s="253"/>
      <c r="BA93" s="253"/>
      <c r="BB93" s="254"/>
    </row>
    <row r="94" spans="2:54" ht="15" customHeight="1" x14ac:dyDescent="0.25">
      <c r="B94" s="48" t="s">
        <v>17</v>
      </c>
      <c r="C94" s="50">
        <f>SUM(F94:BB94)</f>
        <v>20</v>
      </c>
      <c r="D94" s="52">
        <f>SUM(F95:BB95)</f>
        <v>18.75</v>
      </c>
      <c r="E94" s="46">
        <f>(AVERAGE(C94,C95)-AVERAGE(D94,D95) )</f>
        <v>1.25</v>
      </c>
      <c r="F94" s="182">
        <v>0.5</v>
      </c>
      <c r="G94" s="205">
        <v>0.5</v>
      </c>
      <c r="H94" s="205">
        <v>0.5</v>
      </c>
      <c r="I94" s="205">
        <v>0.5</v>
      </c>
      <c r="J94" s="184"/>
      <c r="K94" s="182">
        <v>0.5</v>
      </c>
      <c r="L94" s="205">
        <v>0.5</v>
      </c>
      <c r="M94" s="205">
        <v>0.5</v>
      </c>
      <c r="N94" s="205">
        <v>0.5</v>
      </c>
      <c r="O94" s="184"/>
      <c r="P94" s="182">
        <v>0.5</v>
      </c>
      <c r="Q94" s="205">
        <v>0.5</v>
      </c>
      <c r="R94" s="182">
        <v>0.5</v>
      </c>
      <c r="S94" s="205">
        <v>0.5</v>
      </c>
      <c r="T94" s="205">
        <v>0.5</v>
      </c>
      <c r="U94" s="205">
        <v>0.5</v>
      </c>
      <c r="V94" s="184"/>
      <c r="W94" s="182">
        <v>0.5</v>
      </c>
      <c r="X94" s="205">
        <v>0.5</v>
      </c>
      <c r="Y94" s="205">
        <v>0.5</v>
      </c>
      <c r="Z94" s="205">
        <v>0.5</v>
      </c>
      <c r="AA94" s="184"/>
      <c r="AB94" s="182">
        <v>0.5</v>
      </c>
      <c r="AC94" s="205">
        <v>0.5</v>
      </c>
      <c r="AD94" s="205">
        <v>0.5</v>
      </c>
      <c r="AE94" s="205">
        <v>0.5</v>
      </c>
      <c r="AF94" s="184"/>
      <c r="AG94" s="182">
        <v>0.5</v>
      </c>
      <c r="AH94" s="205">
        <v>0.5</v>
      </c>
      <c r="AI94" s="205">
        <v>0.5</v>
      </c>
      <c r="AJ94" s="205">
        <v>0.5</v>
      </c>
      <c r="AK94" s="184"/>
      <c r="AL94" s="182">
        <v>0.5</v>
      </c>
      <c r="AM94" s="205">
        <v>0.5</v>
      </c>
      <c r="AN94" s="182">
        <v>0.5</v>
      </c>
      <c r="AO94" s="205">
        <v>0.5</v>
      </c>
      <c r="AP94" s="205">
        <v>0.5</v>
      </c>
      <c r="AQ94" s="205">
        <v>0.5</v>
      </c>
      <c r="AR94" s="184"/>
      <c r="AS94" s="182">
        <v>0.5</v>
      </c>
      <c r="AT94" s="205">
        <v>0.5</v>
      </c>
      <c r="AU94" s="205">
        <v>0.5</v>
      </c>
      <c r="AV94" s="205">
        <v>0.5</v>
      </c>
      <c r="AW94" s="184"/>
      <c r="AX94" s="182">
        <v>0.5</v>
      </c>
      <c r="AY94" s="205">
        <v>0.5</v>
      </c>
      <c r="AZ94" s="205">
        <v>0.5</v>
      </c>
      <c r="BA94" s="205">
        <v>0.5</v>
      </c>
      <c r="BB94" s="184"/>
    </row>
    <row r="95" spans="2:54" ht="15" customHeight="1" thickBot="1" x14ac:dyDescent="0.3">
      <c r="B95" s="49"/>
      <c r="C95" s="51"/>
      <c r="D95" s="53"/>
      <c r="E95" s="54"/>
      <c r="F95" s="255">
        <v>0.5</v>
      </c>
      <c r="G95" s="256">
        <v>0.25</v>
      </c>
      <c r="H95" s="256">
        <v>0.5</v>
      </c>
      <c r="I95" s="256">
        <v>0.75</v>
      </c>
      <c r="J95" s="257"/>
      <c r="K95" s="190">
        <v>0.25</v>
      </c>
      <c r="L95" s="198">
        <v>0.5</v>
      </c>
      <c r="M95" s="198">
        <v>0.25</v>
      </c>
      <c r="N95" s="198">
        <v>0.5</v>
      </c>
      <c r="O95" s="184"/>
      <c r="P95" s="255">
        <v>0.5</v>
      </c>
      <c r="Q95" s="256">
        <v>0.5</v>
      </c>
      <c r="R95" s="255">
        <v>0.25</v>
      </c>
      <c r="S95" s="256">
        <v>0.25</v>
      </c>
      <c r="T95" s="256">
        <v>0.25</v>
      </c>
      <c r="U95" s="256">
        <v>0.5</v>
      </c>
      <c r="V95" s="257"/>
      <c r="W95" s="255">
        <v>0.25</v>
      </c>
      <c r="X95" s="256">
        <v>0.5</v>
      </c>
      <c r="Y95" s="256">
        <v>0.5</v>
      </c>
      <c r="Z95" s="256">
        <v>0.5</v>
      </c>
      <c r="AA95" s="257"/>
      <c r="AB95" s="255">
        <v>0.5</v>
      </c>
      <c r="AC95" s="256">
        <v>0.5</v>
      </c>
      <c r="AD95" s="256">
        <v>0.5</v>
      </c>
      <c r="AE95" s="256">
        <v>0.5</v>
      </c>
      <c r="AF95" s="257"/>
      <c r="AG95" s="255">
        <v>0.5</v>
      </c>
      <c r="AH95" s="256">
        <v>0.75</v>
      </c>
      <c r="AI95" s="256">
        <v>0.5</v>
      </c>
      <c r="AJ95" s="256">
        <v>0.5</v>
      </c>
      <c r="AK95" s="257"/>
      <c r="AL95" s="255">
        <v>1.5</v>
      </c>
      <c r="AM95" s="256">
        <v>1.5</v>
      </c>
      <c r="AN95" s="255">
        <v>0.5</v>
      </c>
      <c r="AO95" s="256">
        <v>0.25</v>
      </c>
      <c r="AP95" s="256">
        <v>0.25</v>
      </c>
      <c r="AQ95" s="256">
        <v>0.5</v>
      </c>
      <c r="AR95" s="257"/>
      <c r="AS95" s="255">
        <v>0.5</v>
      </c>
      <c r="AT95" s="256">
        <v>0.5</v>
      </c>
      <c r="AU95" s="256">
        <v>0.5</v>
      </c>
      <c r="AV95" s="258"/>
      <c r="AW95" s="257"/>
      <c r="AX95" s="259"/>
      <c r="AY95" s="258"/>
      <c r="AZ95" s="256">
        <v>0.5</v>
      </c>
      <c r="BA95" s="256">
        <v>0.5</v>
      </c>
      <c r="BB95" s="257"/>
    </row>
    <row r="96" spans="2:54" ht="15" customHeight="1" x14ac:dyDescent="0.25">
      <c r="B96" s="178" t="s">
        <v>18</v>
      </c>
      <c r="C96" s="50">
        <f>SUM(F96:BB96)</f>
        <v>1</v>
      </c>
      <c r="D96" s="50">
        <f>SUM(F97:BB97)</f>
        <v>1.75</v>
      </c>
      <c r="E96" s="180">
        <f>(AVERAGE(C96,C97)-AVERAGE(D96,D97) )</f>
        <v>-0.75</v>
      </c>
      <c r="F96" s="260"/>
      <c r="G96" s="260"/>
      <c r="H96" s="260"/>
      <c r="I96" s="260"/>
      <c r="J96" s="260"/>
      <c r="K96" s="261"/>
      <c r="L96" s="262"/>
      <c r="M96" s="262"/>
      <c r="N96" s="262"/>
      <c r="O96" s="263"/>
      <c r="P96" s="260"/>
      <c r="Q96" s="264"/>
      <c r="R96" s="265"/>
      <c r="S96" s="260"/>
      <c r="T96" s="260"/>
      <c r="U96" s="260"/>
      <c r="V96" s="264"/>
      <c r="W96" s="265"/>
      <c r="X96" s="260"/>
      <c r="Y96" s="260"/>
      <c r="Z96" s="260"/>
      <c r="AA96" s="264"/>
      <c r="AB96" s="265"/>
      <c r="AC96" s="260"/>
      <c r="AD96" s="260"/>
      <c r="AE96" s="260"/>
      <c r="AF96" s="264"/>
      <c r="AG96" s="265"/>
      <c r="AH96" s="260"/>
      <c r="AI96" s="260"/>
      <c r="AJ96" s="260"/>
      <c r="AK96" s="264"/>
      <c r="AL96" s="265"/>
      <c r="AM96" s="264"/>
      <c r="AN96" s="265"/>
      <c r="AO96" s="260"/>
      <c r="AP96" s="260"/>
      <c r="AQ96" s="260"/>
      <c r="AR96" s="264"/>
      <c r="AS96" s="266">
        <v>1</v>
      </c>
      <c r="AT96" s="260"/>
      <c r="AU96" s="260"/>
      <c r="AV96" s="260"/>
      <c r="AW96" s="264"/>
      <c r="AX96" s="260"/>
      <c r="AY96" s="260"/>
      <c r="AZ96" s="260"/>
      <c r="BA96" s="260"/>
      <c r="BB96" s="264"/>
    </row>
    <row r="97" spans="2:54" ht="15" customHeight="1" thickBot="1" x14ac:dyDescent="0.3">
      <c r="B97" s="179"/>
      <c r="C97" s="51"/>
      <c r="D97" s="51"/>
      <c r="E97" s="181"/>
      <c r="F97" s="185"/>
      <c r="G97" s="185"/>
      <c r="H97" s="185"/>
      <c r="I97" s="185"/>
      <c r="J97" s="185"/>
      <c r="K97" s="267">
        <v>0.75</v>
      </c>
      <c r="L97" s="268"/>
      <c r="M97" s="268"/>
      <c r="N97" s="268"/>
      <c r="O97" s="269"/>
      <c r="P97" s="270"/>
      <c r="Q97" s="271"/>
      <c r="R97" s="272"/>
      <c r="S97" s="270"/>
      <c r="T97" s="270"/>
      <c r="U97" s="270"/>
      <c r="V97" s="271"/>
      <c r="W97" s="272"/>
      <c r="X97" s="270"/>
      <c r="Y97" s="270"/>
      <c r="Z97" s="270"/>
      <c r="AA97" s="271"/>
      <c r="AB97" s="272"/>
      <c r="AC97" s="270"/>
      <c r="AD97" s="270"/>
      <c r="AE97" s="270"/>
      <c r="AF97" s="271"/>
      <c r="AG97" s="272"/>
      <c r="AH97" s="270"/>
      <c r="AI97" s="270"/>
      <c r="AJ97" s="270"/>
      <c r="AK97" s="271"/>
      <c r="AL97" s="272"/>
      <c r="AM97" s="271"/>
      <c r="AN97" s="272"/>
      <c r="AO97" s="270"/>
      <c r="AP97" s="270"/>
      <c r="AQ97" s="270"/>
      <c r="AR97" s="271"/>
      <c r="AS97" s="273">
        <v>1</v>
      </c>
      <c r="AT97" s="270"/>
      <c r="AU97" s="270"/>
      <c r="AV97" s="270"/>
      <c r="AW97" s="271"/>
      <c r="AX97" s="270"/>
      <c r="AY97" s="270"/>
      <c r="AZ97" s="270"/>
      <c r="BA97" s="270"/>
      <c r="BB97" s="271"/>
    </row>
    <row r="98" spans="2:54" ht="16.899999999999999" customHeight="1" thickBot="1" x14ac:dyDescent="0.3">
      <c r="B98" s="29" t="s">
        <v>19</v>
      </c>
      <c r="C98" s="34">
        <f>SUM(C24,C32,C46,C52,C72,C80,C92,C18,C5)</f>
        <v>80</v>
      </c>
      <c r="D98" s="34">
        <f>SUM(D24,D32,D46,D52,D72,D80,D92, D18,D5)</f>
        <v>80</v>
      </c>
      <c r="E98" s="34">
        <f>SUM(E24,E32,E46,E52,E72,E80,E92,E5,E18)</f>
        <v>0</v>
      </c>
      <c r="F98" s="164" t="s">
        <v>53</v>
      </c>
      <c r="G98" s="165"/>
      <c r="H98" s="165"/>
      <c r="I98" s="165"/>
      <c r="J98" s="166"/>
      <c r="K98" s="175" t="s">
        <v>53</v>
      </c>
      <c r="L98" s="176"/>
      <c r="M98" s="176"/>
      <c r="N98" s="176"/>
      <c r="O98" s="177"/>
      <c r="P98" s="31" t="s">
        <v>19</v>
      </c>
      <c r="Q98" s="32"/>
      <c r="R98" s="21" t="s">
        <v>53</v>
      </c>
      <c r="S98" s="22"/>
      <c r="T98" s="22"/>
      <c r="U98" s="22"/>
      <c r="V98" s="23"/>
      <c r="W98" s="21" t="s">
        <v>53</v>
      </c>
      <c r="X98" s="22"/>
      <c r="Y98" s="22"/>
      <c r="Z98" s="22"/>
      <c r="AA98" s="23"/>
      <c r="AB98" s="21" t="s">
        <v>53</v>
      </c>
      <c r="AC98" s="22"/>
      <c r="AD98" s="22"/>
      <c r="AE98" s="22"/>
      <c r="AF98" s="23"/>
      <c r="AG98" s="21" t="s">
        <v>53</v>
      </c>
      <c r="AH98" s="22"/>
      <c r="AI98" s="22"/>
      <c r="AJ98" s="22"/>
      <c r="AK98" s="23"/>
      <c r="AL98" s="31" t="s">
        <v>19</v>
      </c>
      <c r="AM98" s="32"/>
      <c r="AN98" s="21" t="s">
        <v>53</v>
      </c>
      <c r="AO98" s="22"/>
      <c r="AP98" s="22"/>
      <c r="AQ98" s="22"/>
      <c r="AR98" s="23"/>
      <c r="AS98" s="21" t="s">
        <v>53</v>
      </c>
      <c r="AT98" s="22"/>
      <c r="AU98" s="22"/>
      <c r="AV98" s="22"/>
      <c r="AW98" s="23"/>
      <c r="AX98" s="21" t="s">
        <v>53</v>
      </c>
      <c r="AY98" s="22"/>
      <c r="AZ98" s="22"/>
      <c r="BA98" s="22"/>
      <c r="BB98" s="23"/>
    </row>
    <row r="99" spans="2:54" ht="16.899999999999999" customHeight="1" thickBot="1" x14ac:dyDescent="0.3">
      <c r="B99" s="30"/>
      <c r="C99" s="35"/>
      <c r="D99" s="35"/>
      <c r="E99" s="35"/>
      <c r="F99" s="24" cm="1">
        <f t="array" ref="F99">_xlfn.LET(_xlpm.r, F6:J97,SUM( _xlfn._xlws.FILTER( _xlpm.r, MOD(ROW(_xlpm.r) - ROW(INDEX(_xlpm.r,1,1)) + 1, 2) = 1) ))</f>
        <v>8</v>
      </c>
      <c r="G99" s="25"/>
      <c r="H99" s="25"/>
      <c r="I99" s="25"/>
      <c r="J99" s="26"/>
      <c r="K99" s="24" cm="1">
        <f t="array" ref="K99">_xlfn.LET(_xlpm.r, K6:O97,SUM( _xlfn._xlws.FILTER( _xlpm.r, MOD(ROW(_xlpm.r) - ROW(INDEX(_xlpm.r,1,1)) + 1, 2) = 1) ))</f>
        <v>8</v>
      </c>
      <c r="L99" s="25"/>
      <c r="M99" s="25"/>
      <c r="N99" s="25"/>
      <c r="O99" s="26"/>
      <c r="P99" s="24" cm="1">
        <f t="array" ref="P99">_xlfn.LET(_xlpm.r, P6:Q97,SUM( _xlfn._xlws.FILTER( _xlpm.r, MOD(ROW(_xlpm.r) - ROW(INDEX(_xlpm.r,1,1)) + 1, 2) = 1) ))</f>
        <v>4</v>
      </c>
      <c r="Q99" s="26"/>
      <c r="R99" s="24" cm="1">
        <f t="array" ref="R99">_xlfn.LET(_xlpm.r, R6:V97,SUM( _xlfn._xlws.FILTER( _xlpm.r, MOD(ROW(_xlpm.r) - ROW(INDEX(_xlpm.r,1,1)) + 1, 2) = 1) ))</f>
        <v>8</v>
      </c>
      <c r="S99" s="25"/>
      <c r="T99" s="25"/>
      <c r="U99" s="25"/>
      <c r="V99" s="26"/>
      <c r="W99" s="24" cm="1">
        <f t="array" ref="W99">_xlfn.LET(_xlpm.r, W6:AA97,SUM( _xlfn._xlws.FILTER( _xlpm.r, MOD(ROW(_xlpm.r) - ROW(INDEX(_xlpm.r,1,1)) + 1, 2) = 1) ))</f>
        <v>8</v>
      </c>
      <c r="X99" s="25"/>
      <c r="Y99" s="25"/>
      <c r="Z99" s="25"/>
      <c r="AA99" s="26"/>
      <c r="AB99" s="24" cm="1">
        <f t="array" ref="AB99">_xlfn.LET(_xlpm.r, AB6:AF97,SUM( _xlfn._xlws.FILTER( _xlpm.r, MOD(ROW(_xlpm.r) - ROW(INDEX(_xlpm.r,1,1)) + 1, 2) = 1) ))</f>
        <v>8</v>
      </c>
      <c r="AC99" s="25"/>
      <c r="AD99" s="25"/>
      <c r="AE99" s="25"/>
      <c r="AF99" s="26"/>
      <c r="AG99" s="24" cm="1">
        <f t="array" ref="AG99">_xlfn.LET(_xlpm.r, AG6:AK97,SUM( _xlfn._xlws.FILTER( _xlpm.r, MOD(ROW(_xlpm.r) - ROW(INDEX(_xlpm.r,1,1)) + 1, 2) = 1) ))</f>
        <v>8</v>
      </c>
      <c r="AH99" s="25"/>
      <c r="AI99" s="25"/>
      <c r="AJ99" s="25"/>
      <c r="AK99" s="26"/>
      <c r="AL99" s="24" cm="1">
        <f t="array" ref="AL99">_xlfn.LET(_xlpm.r, AL6:AM97,SUM( _xlfn._xlws.FILTER( _xlpm.r, MOD(ROW(_xlpm.r) - ROW(INDEX(_xlpm.r,1,1)) + 1, 2) = 1) ))</f>
        <v>4</v>
      </c>
      <c r="AM99" s="26"/>
      <c r="AN99" s="24" cm="1">
        <f t="array" ref="AN99">_xlfn.LET(_xlpm.r, AN6:AR97,SUM( _xlfn._xlws.FILTER( _xlpm.r, MOD(ROW(_xlpm.r) - ROW(INDEX(_xlpm.r,1,1)) + 1, 2) = 1) ))</f>
        <v>8</v>
      </c>
      <c r="AO99" s="25"/>
      <c r="AP99" s="25"/>
      <c r="AQ99" s="25"/>
      <c r="AR99" s="26"/>
      <c r="AS99" s="24" cm="1">
        <f t="array" ref="AS99">_xlfn.LET(_xlpm.r, AS6:AW97,SUM( _xlfn._xlws.FILTER( _xlpm.r, MOD(ROW(_xlpm.r) - ROW(INDEX(_xlpm.r,1,1)) + 1, 2) = 1) ))</f>
        <v>8</v>
      </c>
      <c r="AT99" s="25"/>
      <c r="AU99" s="25"/>
      <c r="AV99" s="25"/>
      <c r="AW99" s="26"/>
      <c r="AX99" s="24" cm="1">
        <f t="array" ref="AX99">_xlfn.LET(_xlpm.r, AX6:BB97,SUM( _xlfn._xlws.FILTER( _xlpm.r, MOD(ROW(_xlpm.r) - ROW(INDEX(_xlpm.r,1,1)) + 1, 2) = 1) ))</f>
        <v>8</v>
      </c>
      <c r="AY99" s="25"/>
      <c r="AZ99" s="25"/>
      <c r="BA99" s="25"/>
      <c r="BB99" s="26"/>
    </row>
    <row r="100" spans="2:54" ht="16.899999999999999" customHeight="1" thickBot="1" x14ac:dyDescent="0.3">
      <c r="C100" s="36" t="s">
        <v>54</v>
      </c>
      <c r="D100" s="39" t="s">
        <v>55</v>
      </c>
      <c r="E100" s="18" t="s">
        <v>3</v>
      </c>
      <c r="F100" s="27" cm="1">
        <f t="array" ref="F100">_xlfn.LET(_xlpm.r, F6:J97,SUM( _xlfn._xlws.FILTER( _xlpm.r, MOD(ROW(_xlpm.r) - ROW(INDEX(_xlpm.r,1,1)) + 1, 2) = 0) ))</f>
        <v>8</v>
      </c>
      <c r="G100" s="27"/>
      <c r="H100" s="27"/>
      <c r="I100" s="27"/>
      <c r="J100" s="28"/>
      <c r="K100" s="27" cm="1">
        <f t="array" ref="K100">_xlfn.LET(_xlpm.r, K6:O97,SUM( _xlfn._xlws.FILTER( _xlpm.r, MOD(ROW(_xlpm.r) - ROW(INDEX(_xlpm.r,1,1)) + 1, 2) = 0) ))</f>
        <v>8</v>
      </c>
      <c r="L100" s="27"/>
      <c r="M100" s="27"/>
      <c r="N100" s="27"/>
      <c r="O100" s="28"/>
      <c r="P100" s="33" cm="1">
        <f t="array" ref="P100">_xlfn.LET(_xlpm.r, P6:Q97,SUM( _xlfn._xlws.FILTER( _xlpm.r, MOD(ROW(_xlpm.r) - ROW(INDEX(_xlpm.r,1,1)) + 1, 2) = 0) ))</f>
        <v>4</v>
      </c>
      <c r="Q100" s="28"/>
      <c r="R100" s="27" cm="1">
        <f t="array" ref="R100">_xlfn.LET(_xlpm.r, R6:V97,SUM( _xlfn._xlws.FILTER( _xlpm.r, MOD(ROW(_xlpm.r) - ROW(INDEX(_xlpm.r,1,1)) + 1, 2) = 0) ))</f>
        <v>8</v>
      </c>
      <c r="S100" s="27"/>
      <c r="T100" s="27"/>
      <c r="U100" s="27"/>
      <c r="V100" s="28"/>
      <c r="W100" s="27" cm="1">
        <f t="array" ref="W100">_xlfn.LET(_xlpm.r, W6:AA97,SUM( _xlfn._xlws.FILTER( _xlpm.r, MOD(ROW(_xlpm.r) - ROW(INDEX(_xlpm.r,1,1)) + 1, 2) = 0) ))</f>
        <v>8</v>
      </c>
      <c r="X100" s="27"/>
      <c r="Y100" s="27"/>
      <c r="Z100" s="27"/>
      <c r="AA100" s="28"/>
      <c r="AB100" s="27" cm="1">
        <f t="array" ref="AB100">_xlfn.LET(_xlpm.r, AB6:AF97,SUM( _xlfn._xlws.FILTER( _xlpm.r, MOD(ROW(_xlpm.r) - ROW(INDEX(_xlpm.r,1,1)) + 1, 2) = 0) ))</f>
        <v>8</v>
      </c>
      <c r="AC100" s="27"/>
      <c r="AD100" s="27"/>
      <c r="AE100" s="27"/>
      <c r="AF100" s="28"/>
      <c r="AG100" s="27" cm="1">
        <f t="array" ref="AG100">_xlfn.LET(_xlpm.r, AG6:AK97,SUM( _xlfn._xlws.FILTER( _xlpm.r, MOD(ROW(_xlpm.r) - ROW(INDEX(_xlpm.r,1,1)) + 1, 2) = 0) ))</f>
        <v>8</v>
      </c>
      <c r="AH100" s="27"/>
      <c r="AI100" s="27"/>
      <c r="AJ100" s="27"/>
      <c r="AK100" s="28"/>
      <c r="AL100" s="33" cm="1">
        <f t="array" ref="AL100">_xlfn.LET(_xlpm.r, AL6:AM97,SUM( _xlfn._xlws.FILTER( _xlpm.r, MOD(ROW(_xlpm.r) - ROW(INDEX(_xlpm.r,1,1)) + 1, 2) = 0) ))</f>
        <v>4</v>
      </c>
      <c r="AM100" s="28"/>
      <c r="AN100" s="27" cm="1">
        <f t="array" ref="AN100">_xlfn.LET(_xlpm.r, AN6:AR97,SUM( _xlfn._xlws.FILTER( _xlpm.r, MOD(ROW(_xlpm.r) - ROW(INDEX(_xlpm.r,1,1)) + 1, 2) = 0) ))</f>
        <v>8</v>
      </c>
      <c r="AO100" s="27"/>
      <c r="AP100" s="27"/>
      <c r="AQ100" s="27"/>
      <c r="AR100" s="28"/>
      <c r="AS100" s="27" cm="1">
        <f t="array" ref="AS100">_xlfn.LET(_xlpm.r, AS6:AW97,SUM( _xlfn._xlws.FILTER( _xlpm.r, MOD(ROW(_xlpm.r) - ROW(INDEX(_xlpm.r,1,1)) + 1, 2) = 0) ))</f>
        <v>8</v>
      </c>
      <c r="AT100" s="27"/>
      <c r="AU100" s="27"/>
      <c r="AV100" s="27"/>
      <c r="AW100" s="28"/>
      <c r="AX100" s="27" cm="1">
        <f t="array" ref="AX100">_xlfn.LET(_xlpm.r, AX6:BB97,SUM( _xlfn._xlws.FILTER( _xlpm.r, MOD(ROW(_xlpm.r) - ROW(INDEX(_xlpm.r,1,1)) + 1, 2) = 0) ))</f>
        <v>8</v>
      </c>
      <c r="AY100" s="27"/>
      <c r="AZ100" s="27"/>
      <c r="BA100" s="27"/>
      <c r="BB100" s="28"/>
    </row>
    <row r="101" spans="2:54" ht="15.75" thickBot="1" x14ac:dyDescent="0.3">
      <c r="C101" s="37"/>
      <c r="D101" s="40"/>
      <c r="E101" s="19"/>
      <c r="F101" s="171">
        <f>(F99-F100)</f>
        <v>0</v>
      </c>
      <c r="G101" s="171"/>
      <c r="H101" s="171"/>
      <c r="I101" s="171"/>
      <c r="J101" s="172"/>
      <c r="K101" s="170">
        <f>(K99-K100)</f>
        <v>0</v>
      </c>
      <c r="L101" s="171"/>
      <c r="M101" s="171"/>
      <c r="N101" s="171"/>
      <c r="O101" s="172"/>
      <c r="P101" s="173">
        <f>(P99-P100)</f>
        <v>0</v>
      </c>
      <c r="Q101" s="174"/>
      <c r="R101" s="170">
        <f>(R99-R100)</f>
        <v>0</v>
      </c>
      <c r="S101" s="171"/>
      <c r="T101" s="171"/>
      <c r="U101" s="171"/>
      <c r="V101" s="172"/>
      <c r="W101" s="170">
        <f>(W99-W100)</f>
        <v>0</v>
      </c>
      <c r="X101" s="171"/>
      <c r="Y101" s="171"/>
      <c r="Z101" s="171"/>
      <c r="AA101" s="172"/>
      <c r="AB101" s="170">
        <f>(AB99-AB100)</f>
        <v>0</v>
      </c>
      <c r="AC101" s="171"/>
      <c r="AD101" s="171"/>
      <c r="AE101" s="171"/>
      <c r="AF101" s="172"/>
      <c r="AG101" s="170">
        <f>(AG99-AG100)</f>
        <v>0</v>
      </c>
      <c r="AH101" s="171"/>
      <c r="AI101" s="171"/>
      <c r="AJ101" s="171"/>
      <c r="AK101" s="172"/>
      <c r="AL101" s="173">
        <f>(AL99-AL100)</f>
        <v>0</v>
      </c>
      <c r="AM101" s="174"/>
      <c r="AN101" s="170">
        <f>(AN99-AN100)</f>
        <v>0</v>
      </c>
      <c r="AO101" s="171"/>
      <c r="AP101" s="171"/>
      <c r="AQ101" s="171"/>
      <c r="AR101" s="172"/>
      <c r="AS101" s="170">
        <f>(AS99-AS100)</f>
        <v>0</v>
      </c>
      <c r="AT101" s="171"/>
      <c r="AU101" s="171"/>
      <c r="AV101" s="171"/>
      <c r="AW101" s="172"/>
      <c r="AX101" s="170">
        <f>(AX99-AX100)</f>
        <v>0</v>
      </c>
      <c r="AY101" s="171"/>
      <c r="AZ101" s="171"/>
      <c r="BA101" s="171"/>
      <c r="BB101" s="172"/>
    </row>
    <row r="102" spans="2:54" ht="15" customHeight="1" thickBot="1" x14ac:dyDescent="0.3">
      <c r="C102" s="38"/>
      <c r="D102" s="41"/>
      <c r="E102" s="20"/>
      <c r="F102" s="152" t="s">
        <v>57</v>
      </c>
      <c r="G102" s="153"/>
      <c r="H102" s="153"/>
      <c r="I102" s="154"/>
      <c r="J102" s="3"/>
    </row>
    <row r="103" spans="2:54" x14ac:dyDescent="0.25">
      <c r="E103" s="6"/>
      <c r="F103" s="149" t="s">
        <v>58</v>
      </c>
      <c r="G103" s="150"/>
      <c r="H103" s="150"/>
      <c r="I103" s="151"/>
    </row>
    <row r="104" spans="2:54" x14ac:dyDescent="0.25">
      <c r="F104" s="155" t="s">
        <v>59</v>
      </c>
      <c r="G104" s="156"/>
      <c r="H104" s="156"/>
      <c r="I104" s="157"/>
    </row>
    <row r="105" spans="2:54" x14ac:dyDescent="0.25">
      <c r="F105" s="161" t="s">
        <v>3</v>
      </c>
      <c r="G105" s="162"/>
      <c r="H105" s="162"/>
      <c r="I105" s="163"/>
    </row>
    <row r="106" spans="2:54" ht="16.899999999999999" customHeight="1" thickBot="1" x14ac:dyDescent="0.3">
      <c r="F106" s="158" t="s">
        <v>56</v>
      </c>
      <c r="G106" s="159"/>
      <c r="H106" s="159"/>
      <c r="I106" s="160"/>
    </row>
  </sheetData>
  <mergeCells count="273">
    <mergeCell ref="B4:E4"/>
    <mergeCell ref="AX101:BB101"/>
    <mergeCell ref="AS101:AW101"/>
    <mergeCell ref="AN101:AR101"/>
    <mergeCell ref="AL101:AM101"/>
    <mergeCell ref="AG101:AK101"/>
    <mergeCell ref="AB101:AF101"/>
    <mergeCell ref="F24:BB25"/>
    <mergeCell ref="W100:AA100"/>
    <mergeCell ref="AB98:AF98"/>
    <mergeCell ref="AG98:AK98"/>
    <mergeCell ref="AB100:AF100"/>
    <mergeCell ref="AG100:AK100"/>
    <mergeCell ref="K98:O98"/>
    <mergeCell ref="F101:J101"/>
    <mergeCell ref="K101:O101"/>
    <mergeCell ref="P101:Q101"/>
    <mergeCell ref="W101:AA101"/>
    <mergeCell ref="R101:V101"/>
    <mergeCell ref="B96:B97"/>
    <mergeCell ref="C96:C97"/>
    <mergeCell ref="D96:D97"/>
    <mergeCell ref="E96:E97"/>
    <mergeCell ref="B8:B9"/>
    <mergeCell ref="F103:I103"/>
    <mergeCell ref="F102:I102"/>
    <mergeCell ref="F104:I104"/>
    <mergeCell ref="F106:I106"/>
    <mergeCell ref="F105:I105"/>
    <mergeCell ref="F2:J2"/>
    <mergeCell ref="K2:O2"/>
    <mergeCell ref="P2:Q2"/>
    <mergeCell ref="R2:V2"/>
    <mergeCell ref="F98:J98"/>
    <mergeCell ref="F100:J100"/>
    <mergeCell ref="K100:O100"/>
    <mergeCell ref="F99:J99"/>
    <mergeCell ref="K99:O99"/>
    <mergeCell ref="P99:Q99"/>
    <mergeCell ref="R99:V99"/>
    <mergeCell ref="B14:B15"/>
    <mergeCell ref="C14:C15"/>
    <mergeCell ref="D14:D15"/>
    <mergeCell ref="F18:BB19"/>
    <mergeCell ref="AS3:AW3"/>
    <mergeCell ref="AX3:BB3"/>
    <mergeCell ref="F5:BB5"/>
    <mergeCell ref="B6:B7"/>
    <mergeCell ref="C6:C7"/>
    <mergeCell ref="D6:D7"/>
    <mergeCell ref="E6:E7"/>
    <mergeCell ref="C2:E3"/>
    <mergeCell ref="E14:E15"/>
    <mergeCell ref="C8:C9"/>
    <mergeCell ref="D8:D9"/>
    <mergeCell ref="E8:E9"/>
    <mergeCell ref="B10:B11"/>
    <mergeCell ref="C10:C11"/>
    <mergeCell ref="D10:D11"/>
    <mergeCell ref="E10:E11"/>
    <mergeCell ref="B12:B13"/>
    <mergeCell ref="C12:C13"/>
    <mergeCell ref="D12:D13"/>
    <mergeCell ref="E12:E13"/>
    <mergeCell ref="AX2:BB2"/>
    <mergeCell ref="F3:J3"/>
    <mergeCell ref="K3:O3"/>
    <mergeCell ref="P3:Q3"/>
    <mergeCell ref="R3:V3"/>
    <mergeCell ref="W3:AA3"/>
    <mergeCell ref="AB3:AF3"/>
    <mergeCell ref="AG3:AK3"/>
    <mergeCell ref="AL3:AM3"/>
    <mergeCell ref="AN3:AR3"/>
    <mergeCell ref="W2:AA2"/>
    <mergeCell ref="AB2:AF2"/>
    <mergeCell ref="AG2:AK2"/>
    <mergeCell ref="AL2:AM2"/>
    <mergeCell ref="AN2:AR2"/>
    <mergeCell ref="AS2:AW2"/>
    <mergeCell ref="B20:B21"/>
    <mergeCell ref="C20:C21"/>
    <mergeCell ref="D20:D21"/>
    <mergeCell ref="E20:E21"/>
    <mergeCell ref="B16:B17"/>
    <mergeCell ref="C16:C17"/>
    <mergeCell ref="D16:D17"/>
    <mergeCell ref="E16:E17"/>
    <mergeCell ref="B18:B19"/>
    <mergeCell ref="C18:C19"/>
    <mergeCell ref="D18:D19"/>
    <mergeCell ref="E18:E19"/>
    <mergeCell ref="B26:B27"/>
    <mergeCell ref="C26:C27"/>
    <mergeCell ref="D26:D27"/>
    <mergeCell ref="E26:E27"/>
    <mergeCell ref="B22:B23"/>
    <mergeCell ref="C22:C23"/>
    <mergeCell ref="D22:D23"/>
    <mergeCell ref="E22:E23"/>
    <mergeCell ref="B24:B25"/>
    <mergeCell ref="C24:C25"/>
    <mergeCell ref="D24:D25"/>
    <mergeCell ref="E24:E25"/>
    <mergeCell ref="B32:B33"/>
    <mergeCell ref="C32:C33"/>
    <mergeCell ref="D32:D33"/>
    <mergeCell ref="E32:E33"/>
    <mergeCell ref="F32:BB33"/>
    <mergeCell ref="B28:B29"/>
    <mergeCell ref="C28:C29"/>
    <mergeCell ref="D28:D29"/>
    <mergeCell ref="E28:E29"/>
    <mergeCell ref="B30:B31"/>
    <mergeCell ref="C30:C31"/>
    <mergeCell ref="D30:D31"/>
    <mergeCell ref="E30:E31"/>
    <mergeCell ref="B34:B35"/>
    <mergeCell ref="C34:C35"/>
    <mergeCell ref="D34:D35"/>
    <mergeCell ref="E34:E35"/>
    <mergeCell ref="B36:B37"/>
    <mergeCell ref="C36:C37"/>
    <mergeCell ref="D36:D37"/>
    <mergeCell ref="E36:E37"/>
    <mergeCell ref="B38:B39"/>
    <mergeCell ref="C38:C39"/>
    <mergeCell ref="D38:D39"/>
    <mergeCell ref="E38:E39"/>
    <mergeCell ref="B40:B41"/>
    <mergeCell ref="C40:C41"/>
    <mergeCell ref="D40:D41"/>
    <mergeCell ref="E40:E41"/>
    <mergeCell ref="B46:B47"/>
    <mergeCell ref="C46:C47"/>
    <mergeCell ref="D46:D47"/>
    <mergeCell ref="E46:E47"/>
    <mergeCell ref="F46:BB47"/>
    <mergeCell ref="B42:B43"/>
    <mergeCell ref="C42:C43"/>
    <mergeCell ref="D42:D43"/>
    <mergeCell ref="E42:E43"/>
    <mergeCell ref="B44:B45"/>
    <mergeCell ref="C44:C45"/>
    <mergeCell ref="D44:D45"/>
    <mergeCell ref="E44:E45"/>
    <mergeCell ref="B52:B53"/>
    <mergeCell ref="C52:C53"/>
    <mergeCell ref="D52:D53"/>
    <mergeCell ref="E52:E53"/>
    <mergeCell ref="F52:BB53"/>
    <mergeCell ref="B48:B49"/>
    <mergeCell ref="C48:C49"/>
    <mergeCell ref="D48:D49"/>
    <mergeCell ref="E48:E49"/>
    <mergeCell ref="B50:B51"/>
    <mergeCell ref="C50:C51"/>
    <mergeCell ref="D50:D51"/>
    <mergeCell ref="E50:E51"/>
    <mergeCell ref="B54:B55"/>
    <mergeCell ref="C54:C55"/>
    <mergeCell ref="D54:D55"/>
    <mergeCell ref="E54:E55"/>
    <mergeCell ref="B56:B57"/>
    <mergeCell ref="C56:C57"/>
    <mergeCell ref="D56:D57"/>
    <mergeCell ref="E56:E57"/>
    <mergeCell ref="B58:B59"/>
    <mergeCell ref="C58:C59"/>
    <mergeCell ref="D58:D59"/>
    <mergeCell ref="E58:E59"/>
    <mergeCell ref="B60:B61"/>
    <mergeCell ref="C60:C61"/>
    <mergeCell ref="D60:D61"/>
    <mergeCell ref="E60:E61"/>
    <mergeCell ref="B62:B63"/>
    <mergeCell ref="C62:C63"/>
    <mergeCell ref="D62:D63"/>
    <mergeCell ref="E62:E63"/>
    <mergeCell ref="B64:B65"/>
    <mergeCell ref="C64:C65"/>
    <mergeCell ref="D64:D65"/>
    <mergeCell ref="E64:E65"/>
    <mergeCell ref="B66:B67"/>
    <mergeCell ref="C66:C67"/>
    <mergeCell ref="D66:D67"/>
    <mergeCell ref="E66:E67"/>
    <mergeCell ref="B68:B69"/>
    <mergeCell ref="C68:C69"/>
    <mergeCell ref="D68:D69"/>
    <mergeCell ref="E68:E69"/>
    <mergeCell ref="F72:BB73"/>
    <mergeCell ref="B74:B75"/>
    <mergeCell ref="C74:C75"/>
    <mergeCell ref="D74:D75"/>
    <mergeCell ref="E74:E75"/>
    <mergeCell ref="B70:B71"/>
    <mergeCell ref="C70:C71"/>
    <mergeCell ref="D70:D71"/>
    <mergeCell ref="E70:E71"/>
    <mergeCell ref="B72:B73"/>
    <mergeCell ref="C72:C73"/>
    <mergeCell ref="D72:D73"/>
    <mergeCell ref="E72:E73"/>
    <mergeCell ref="B80:B81"/>
    <mergeCell ref="C80:C81"/>
    <mergeCell ref="D80:D81"/>
    <mergeCell ref="E80:E81"/>
    <mergeCell ref="F80:BB81"/>
    <mergeCell ref="B76:B77"/>
    <mergeCell ref="C76:C77"/>
    <mergeCell ref="D76:D77"/>
    <mergeCell ref="E76:E77"/>
    <mergeCell ref="B78:B79"/>
    <mergeCell ref="C78:C79"/>
    <mergeCell ref="D78:D79"/>
    <mergeCell ref="E78:E79"/>
    <mergeCell ref="B82:B83"/>
    <mergeCell ref="C82:C83"/>
    <mergeCell ref="D82:D83"/>
    <mergeCell ref="E82:E83"/>
    <mergeCell ref="B84:B85"/>
    <mergeCell ref="C84:C85"/>
    <mergeCell ref="D84:D85"/>
    <mergeCell ref="E84:E85"/>
    <mergeCell ref="B86:B87"/>
    <mergeCell ref="C86:C87"/>
    <mergeCell ref="D86:D87"/>
    <mergeCell ref="E86:E87"/>
    <mergeCell ref="B88:B89"/>
    <mergeCell ref="C88:C89"/>
    <mergeCell ref="D88:D89"/>
    <mergeCell ref="E88:E89"/>
    <mergeCell ref="F92:BB93"/>
    <mergeCell ref="B94:B95"/>
    <mergeCell ref="C94:C95"/>
    <mergeCell ref="D94:D95"/>
    <mergeCell ref="E94:E95"/>
    <mergeCell ref="B90:B91"/>
    <mergeCell ref="C90:C91"/>
    <mergeCell ref="D90:D91"/>
    <mergeCell ref="E90:E91"/>
    <mergeCell ref="B92:B93"/>
    <mergeCell ref="C92:C93"/>
    <mergeCell ref="D92:D93"/>
    <mergeCell ref="E92:E93"/>
    <mergeCell ref="AS99:AW99"/>
    <mergeCell ref="AX99:BB99"/>
    <mergeCell ref="B98:B99"/>
    <mergeCell ref="P98:Q98"/>
    <mergeCell ref="P100:Q100"/>
    <mergeCell ref="AL98:AM98"/>
    <mergeCell ref="AL100:AM100"/>
    <mergeCell ref="AS98:AW98"/>
    <mergeCell ref="AN100:AR100"/>
    <mergeCell ref="AS100:AW100"/>
    <mergeCell ref="AX98:BB98"/>
    <mergeCell ref="AX100:BB100"/>
    <mergeCell ref="C98:C99"/>
    <mergeCell ref="D98:D99"/>
    <mergeCell ref="E98:E99"/>
    <mergeCell ref="AN98:AR98"/>
    <mergeCell ref="C100:C102"/>
    <mergeCell ref="D100:D102"/>
    <mergeCell ref="E100:E102"/>
    <mergeCell ref="R98:V98"/>
    <mergeCell ref="W98:AA98"/>
    <mergeCell ref="W99:AA99"/>
    <mergeCell ref="AB99:AF99"/>
    <mergeCell ref="R100:V100"/>
    <mergeCell ref="AG99:AK99"/>
    <mergeCell ref="AL99:AM99"/>
    <mergeCell ref="AN99:AR99"/>
  </mergeCells>
  <printOptions horizontalCentered="1"/>
  <pageMargins left="0.25" right="0.25" top="0.75" bottom="0.75" header="0.3" footer="0.3"/>
  <pageSetup paperSize="9" scale="28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0" id="{2D96D6CA-ED1B-0044-B85F-0457C2379A8C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E6:E17</xm:sqref>
        </x14:conditionalFormatting>
        <x14:conditionalFormatting xmlns:xm="http://schemas.microsoft.com/office/excel/2006/main">
          <x14:cfRule type="iconSet" priority="19" id="{69BCBE87-4B91-D74B-9A07-F64D04BEA89F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E20:E21</xm:sqref>
        </x14:conditionalFormatting>
        <x14:conditionalFormatting xmlns:xm="http://schemas.microsoft.com/office/excel/2006/main">
          <x14:cfRule type="iconSet" priority="18" id="{7941BDC9-DFC7-3443-865A-F4ED386CD82C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E22:E23</xm:sqref>
        </x14:conditionalFormatting>
        <x14:conditionalFormatting xmlns:xm="http://schemas.microsoft.com/office/excel/2006/main">
          <x14:cfRule type="iconSet" priority="11" id="{DA412E3C-2844-6B48-B1E1-A5D4CDC15926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E26:E27</xm:sqref>
        </x14:conditionalFormatting>
        <x14:conditionalFormatting xmlns:xm="http://schemas.microsoft.com/office/excel/2006/main">
          <x14:cfRule type="iconSet" priority="5" id="{D5B91954-8AD5-534E-8897-7F668F374746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E28:E29</xm:sqref>
        </x14:conditionalFormatting>
        <x14:conditionalFormatting xmlns:xm="http://schemas.microsoft.com/office/excel/2006/main">
          <x14:cfRule type="iconSet" priority="17" id="{75A44AC4-7E87-A74A-A482-F2554C9A366F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E30:E31</xm:sqref>
        </x14:conditionalFormatting>
        <x14:conditionalFormatting xmlns:xm="http://schemas.microsoft.com/office/excel/2006/main">
          <x14:cfRule type="iconSet" priority="10" id="{4E813451-3022-1041-A31B-1426318B07BA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E34:E35</xm:sqref>
        </x14:conditionalFormatting>
        <x14:conditionalFormatting xmlns:xm="http://schemas.microsoft.com/office/excel/2006/main">
          <x14:cfRule type="iconSet" priority="21" id="{061BFE4D-E788-014F-9A59-79005A113056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E36:E43</xm:sqref>
        </x14:conditionalFormatting>
        <x14:conditionalFormatting xmlns:xm="http://schemas.microsoft.com/office/excel/2006/main">
          <x14:cfRule type="iconSet" priority="16" id="{B22837FD-073E-974E-A591-AF536306B9F4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E44:E45</xm:sqref>
        </x14:conditionalFormatting>
        <x14:conditionalFormatting xmlns:xm="http://schemas.microsoft.com/office/excel/2006/main">
          <x14:cfRule type="iconSet" priority="9" id="{E2D8F92A-8C7F-5F45-8811-5932ACAE6FE2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E48:E49</xm:sqref>
        </x14:conditionalFormatting>
        <x14:conditionalFormatting xmlns:xm="http://schemas.microsoft.com/office/excel/2006/main">
          <x14:cfRule type="iconSet" priority="15" id="{C2DE43FF-9B48-0A43-AA1C-4788BF7C23B7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E50:E51</xm:sqref>
        </x14:conditionalFormatting>
        <x14:conditionalFormatting xmlns:xm="http://schemas.microsoft.com/office/excel/2006/main">
          <x14:cfRule type="iconSet" priority="8" id="{BD59D571-5D70-FE4D-9A68-50FD39272467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E54:E55</xm:sqref>
        </x14:conditionalFormatting>
        <x14:conditionalFormatting xmlns:xm="http://schemas.microsoft.com/office/excel/2006/main">
          <x14:cfRule type="iconSet" priority="4" id="{691C2A0E-0E47-414F-8BFD-E7C4F132B015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E56:E69</xm:sqref>
        </x14:conditionalFormatting>
        <x14:conditionalFormatting xmlns:xm="http://schemas.microsoft.com/office/excel/2006/main">
          <x14:cfRule type="iconSet" priority="14" id="{C4C1FD49-8032-4441-9BA3-F1795F35083B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E70:E71</xm:sqref>
        </x14:conditionalFormatting>
        <x14:conditionalFormatting xmlns:xm="http://schemas.microsoft.com/office/excel/2006/main">
          <x14:cfRule type="iconSet" priority="7" id="{2628D257-0EE0-8844-B589-A43EF9BEBAC3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E74:E75</xm:sqref>
        </x14:conditionalFormatting>
        <x14:conditionalFormatting xmlns:xm="http://schemas.microsoft.com/office/excel/2006/main">
          <x14:cfRule type="iconSet" priority="3" id="{B9B9040D-9D71-9C44-B55D-9ABFE3C4CA1E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E76:E77</xm:sqref>
        </x14:conditionalFormatting>
        <x14:conditionalFormatting xmlns:xm="http://schemas.microsoft.com/office/excel/2006/main">
          <x14:cfRule type="iconSet" priority="13" id="{27CA080D-6895-0947-BA9D-038D1C740841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E78:E79</xm:sqref>
        </x14:conditionalFormatting>
        <x14:conditionalFormatting xmlns:xm="http://schemas.microsoft.com/office/excel/2006/main">
          <x14:cfRule type="iconSet" priority="6" id="{BAAD0154-C686-7C4A-8901-1866270D16C1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E82:E83</xm:sqref>
        </x14:conditionalFormatting>
        <x14:conditionalFormatting xmlns:xm="http://schemas.microsoft.com/office/excel/2006/main">
          <x14:cfRule type="iconSet" priority="2" id="{C126C85E-3898-3C41-AF0F-6E9C5B8C5DFD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E84:E89</xm:sqref>
        </x14:conditionalFormatting>
        <x14:conditionalFormatting xmlns:xm="http://schemas.microsoft.com/office/excel/2006/main">
          <x14:cfRule type="iconSet" priority="12" id="{FCE4FB17-9304-4A45-9DA3-AFB12F7FD0C4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E90:E91</xm:sqref>
        </x14:conditionalFormatting>
        <x14:conditionalFormatting xmlns:xm="http://schemas.microsoft.com/office/excel/2006/main">
          <x14:cfRule type="iconSet" priority="1" id="{9CA648AF-6D97-1248-A5D1-D2A4C8147F19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E94:E97</xm:sqref>
        </x14:conditionalFormatting>
      </x14:conditionalFormattings>
    </ext>
  </extLst>
</worksheet>
</file>

<file path=docMetadata/LabelInfo.xml><?xml version="1.0" encoding="utf-8"?>
<clbl:labelList xmlns:clbl="http://schemas.microsoft.com/office/2020/mipLabelMetadata">
  <clbl:label id="{2e1fccfb-80ca-4fe1-a574-1516544edb53}" enabled="1" method="Standard" siteId="{364e5b87-c1c7-420d-9bee-c35d19b557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IPA_ISAAC_LINS</vt:lpstr>
      <vt:lpstr>IPA_ISAAC_LINS!Print_Area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Lins Isaac, GHR-SCS-NEX-INP-10</dc:creator>
  <cp:lastModifiedBy>Lins Isaac, GHR-SCS-NEX-INP-10</cp:lastModifiedBy>
  <cp:lastPrinted>2026-03-23T13:16:21Z</cp:lastPrinted>
  <dcterms:created xsi:type="dcterms:W3CDTF">2026-03-07T17:16:29Z</dcterms:created>
  <dcterms:modified xsi:type="dcterms:W3CDTF">2026-03-23T13:22:53Z</dcterms:modified>
</cp:coreProperties>
</file>