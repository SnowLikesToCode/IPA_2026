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amanii\Documents\Individuelle Praktische Arbeit Nicola\individuelle-praktische-arbeit-main\"/>
    </mc:Choice>
  </mc:AlternateContent>
  <xr:revisionPtr revIDLastSave="0" documentId="13_ncr:1_{A327F332-557B-489B-BEA6-2F23E1117D26}" xr6:coauthVersionLast="47" xr6:coauthVersionMax="47" xr10:uidLastSave="{00000000-0000-0000-0000-000000000000}"/>
  <bookViews>
    <workbookView xWindow="-96" yWindow="-96" windowWidth="23232" windowHeight="13872" xr2:uid="{09F15F46-AED7-3C4E-9C62-04C59C5DDA6F}"/>
  </bookViews>
  <sheets>
    <sheet name="Zeitplan_Nicola_Mäder" sheetId="2" r:id="rId1"/>
  </sheets>
  <definedNames>
    <definedName name="_xlnm.Print_Area" localSheetId="0">Zeitplan_Nicola_Mäder!$A$1:$BB$97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1" i="2" l="1"/>
  <c r="D45" i="2"/>
  <c r="C45" i="2"/>
  <c r="E45" i="2" s="1"/>
  <c r="AS5" i="2" a="1"/>
  <c r="AS5" i="2" s="1"/>
  <c r="AR5" i="2" a="1"/>
  <c r="AR5" i="2" s="1"/>
  <c r="AQ5" i="2" a="1"/>
  <c r="AQ5" i="2" s="1"/>
  <c r="AP5" i="2" a="1"/>
  <c r="AP5" i="2" s="1"/>
  <c r="AO5" i="2" a="1"/>
  <c r="AO5" i="2" s="1"/>
  <c r="AS4" i="2" a="1"/>
  <c r="AS4" i="2" s="1"/>
  <c r="AR4" i="2" a="1"/>
  <c r="AR4" i="2" s="1"/>
  <c r="AQ4" i="2" a="1"/>
  <c r="AQ4" i="2" s="1"/>
  <c r="AP4" i="2" a="1"/>
  <c r="AP4" i="2" s="1"/>
  <c r="AO4" i="2" a="1"/>
  <c r="AO4" i="2" s="1"/>
  <c r="T5" i="2" a="1"/>
  <c r="T5" i="2" s="1"/>
  <c r="S5" i="2" a="1"/>
  <c r="S5" i="2" s="1"/>
  <c r="R5" i="2" a="1"/>
  <c r="R5" i="2" s="1"/>
  <c r="Q5" i="2" a="1"/>
  <c r="Q5" i="2" s="1"/>
  <c r="P5" i="2" a="1"/>
  <c r="P5" i="2" s="1"/>
  <c r="T4" i="2" a="1"/>
  <c r="T4" i="2" s="1"/>
  <c r="S4" i="2" a="1"/>
  <c r="S4" i="2" s="1"/>
  <c r="R4" i="2" a="1"/>
  <c r="R4" i="2" s="1"/>
  <c r="Q4" i="2" a="1"/>
  <c r="Q4" i="2" s="1"/>
  <c r="P4" i="2" a="1"/>
  <c r="P4" i="2" s="1"/>
  <c r="D89" i="2"/>
  <c r="D87" i="2" s="1"/>
  <c r="C89" i="2"/>
  <c r="E89" i="2" s="1"/>
  <c r="D85" i="2"/>
  <c r="C85" i="2"/>
  <c r="D83" i="2"/>
  <c r="C83" i="2"/>
  <c r="D81" i="2"/>
  <c r="C81" i="2"/>
  <c r="D79" i="2"/>
  <c r="C79" i="2"/>
  <c r="D77" i="2"/>
  <c r="C77" i="2"/>
  <c r="D73" i="2"/>
  <c r="C73" i="2"/>
  <c r="E73" i="2" s="1"/>
  <c r="D71" i="2"/>
  <c r="C71" i="2"/>
  <c r="D69" i="2"/>
  <c r="C69" i="2"/>
  <c r="E69" i="2" s="1"/>
  <c r="D65" i="2"/>
  <c r="C65" i="2"/>
  <c r="D63" i="2"/>
  <c r="C63" i="2"/>
  <c r="D61" i="2"/>
  <c r="C61" i="2"/>
  <c r="D59" i="2"/>
  <c r="C59" i="2"/>
  <c r="D57" i="2"/>
  <c r="C57" i="2"/>
  <c r="D55" i="2"/>
  <c r="C55" i="2"/>
  <c r="E55" i="2" s="1"/>
  <c r="D53" i="2"/>
  <c r="C53" i="2"/>
  <c r="D51" i="2"/>
  <c r="C51" i="2"/>
  <c r="E51" i="2" s="1"/>
  <c r="D47" i="2"/>
  <c r="C47" i="2"/>
  <c r="D43" i="2"/>
  <c r="D41" i="2" s="1"/>
  <c r="C43" i="2"/>
  <c r="E43" i="2" s="1"/>
  <c r="D39" i="2"/>
  <c r="C39" i="2"/>
  <c r="D37" i="2"/>
  <c r="C37" i="2"/>
  <c r="D35" i="2"/>
  <c r="C35" i="2"/>
  <c r="D33" i="2"/>
  <c r="C33" i="2"/>
  <c r="D31" i="2"/>
  <c r="C31" i="2"/>
  <c r="D27" i="2"/>
  <c r="C27" i="2"/>
  <c r="D25" i="2"/>
  <c r="C25" i="2"/>
  <c r="D23" i="2"/>
  <c r="C23" i="2"/>
  <c r="D19" i="2"/>
  <c r="C19" i="2"/>
  <c r="D17" i="2"/>
  <c r="D15" i="2" s="1"/>
  <c r="C17" i="2"/>
  <c r="D13" i="2"/>
  <c r="C13" i="2"/>
  <c r="D11" i="2"/>
  <c r="C11" i="2"/>
  <c r="D9" i="2"/>
  <c r="C9" i="2"/>
  <c r="D7" i="2"/>
  <c r="C7" i="2"/>
  <c r="BB5" i="2" a="1"/>
  <c r="BB5" i="2" s="1"/>
  <c r="BA5" i="2" a="1"/>
  <c r="BA5" i="2" s="1"/>
  <c r="AZ5" i="2" a="1"/>
  <c r="AZ5" i="2" s="1"/>
  <c r="AY5" i="2" a="1"/>
  <c r="AY5" i="2" s="1"/>
  <c r="AX5" i="2" a="1"/>
  <c r="AX5" i="2" s="1"/>
  <c r="AW5" i="2" a="1"/>
  <c r="AW5" i="2" s="1"/>
  <c r="AV5" i="2" a="1"/>
  <c r="AV5" i="2" s="1"/>
  <c r="AU5" i="2" a="1"/>
  <c r="AU5" i="2" s="1"/>
  <c r="AT5" i="2" a="1"/>
  <c r="AT5" i="2" s="1"/>
  <c r="AN5" i="2" a="1"/>
  <c r="AN5" i="2" s="1"/>
  <c r="AM5" i="2" a="1"/>
  <c r="AM5" i="2" s="1"/>
  <c r="AL5" i="2" a="1"/>
  <c r="AL5" i="2" s="1"/>
  <c r="AK5" i="2" a="1"/>
  <c r="AK5" i="2" s="1"/>
  <c r="AJ5" i="2" a="1"/>
  <c r="AJ5" i="2" s="1"/>
  <c r="AI5" i="2" a="1"/>
  <c r="AI5" i="2" s="1"/>
  <c r="AH5" i="2" a="1"/>
  <c r="AH5" i="2" s="1"/>
  <c r="AG5" i="2" a="1"/>
  <c r="AG5" i="2" s="1"/>
  <c r="AF5" i="2" a="1"/>
  <c r="AF5" i="2" s="1"/>
  <c r="AE5" i="2" a="1"/>
  <c r="AE5" i="2" s="1"/>
  <c r="AD5" i="2" a="1"/>
  <c r="AD5" i="2" s="1"/>
  <c r="AC5" i="2" a="1"/>
  <c r="AC5" i="2" s="1"/>
  <c r="AB5" i="2" a="1"/>
  <c r="AB5" i="2" s="1"/>
  <c r="AA5" i="2" a="1"/>
  <c r="AA5" i="2" s="1"/>
  <c r="Z5" i="2" a="1"/>
  <c r="Z5" i="2" s="1"/>
  <c r="Y5" i="2" a="1"/>
  <c r="Y5" i="2" s="1"/>
  <c r="X5" i="2" a="1"/>
  <c r="X5" i="2" s="1"/>
  <c r="W5" i="2" a="1"/>
  <c r="W5" i="2" s="1"/>
  <c r="V5" i="2" a="1"/>
  <c r="V5" i="2" s="1"/>
  <c r="U5" i="2" a="1"/>
  <c r="U5" i="2" s="1"/>
  <c r="O5" i="2" a="1"/>
  <c r="O5" i="2" s="1"/>
  <c r="N5" i="2" a="1"/>
  <c r="N5" i="2" s="1"/>
  <c r="M5" i="2" a="1"/>
  <c r="M5" i="2" s="1"/>
  <c r="L5" i="2" a="1"/>
  <c r="L5" i="2" s="1"/>
  <c r="K5" i="2" a="1"/>
  <c r="K5" i="2" s="1"/>
  <c r="J5" i="2" a="1"/>
  <c r="J5" i="2" s="1"/>
  <c r="I5" i="2" a="1"/>
  <c r="I5" i="2" s="1"/>
  <c r="H5" i="2" a="1"/>
  <c r="H5" i="2" s="1"/>
  <c r="G5" i="2" a="1"/>
  <c r="G5" i="2" s="1"/>
  <c r="F5" i="2" a="1"/>
  <c r="F5" i="2" s="1"/>
  <c r="BB4" i="2" a="1"/>
  <c r="BB4" i="2" s="1"/>
  <c r="BA4" i="2" a="1"/>
  <c r="BA4" i="2" s="1"/>
  <c r="AZ4" i="2" a="1"/>
  <c r="AZ4" i="2" s="1"/>
  <c r="AY4" i="2" a="1"/>
  <c r="AY4" i="2" s="1"/>
  <c r="AX4" i="2" a="1"/>
  <c r="AX4" i="2" s="1"/>
  <c r="AW4" i="2" a="1"/>
  <c r="AW4" i="2" s="1"/>
  <c r="AV4" i="2" a="1"/>
  <c r="AV4" i="2" s="1"/>
  <c r="AU4" i="2" a="1"/>
  <c r="AU4" i="2" s="1"/>
  <c r="AT4" i="2" a="1"/>
  <c r="AT4" i="2" s="1"/>
  <c r="AN4" i="2" a="1"/>
  <c r="AN4" i="2" s="1"/>
  <c r="AM4" i="2" a="1"/>
  <c r="AM4" i="2" s="1"/>
  <c r="AL4" i="2" a="1"/>
  <c r="AL4" i="2" s="1"/>
  <c r="AK4" i="2" a="1"/>
  <c r="AK4" i="2" s="1"/>
  <c r="AJ4" i="2" a="1"/>
  <c r="AJ4" i="2" s="1"/>
  <c r="AI4" i="2" a="1"/>
  <c r="AI4" i="2" s="1"/>
  <c r="AH4" i="2" a="1"/>
  <c r="AH4" i="2" s="1"/>
  <c r="AG4" i="2" a="1"/>
  <c r="AG4" i="2" s="1"/>
  <c r="AF4" i="2" a="1"/>
  <c r="AF4" i="2" s="1"/>
  <c r="AE4" i="2" a="1"/>
  <c r="AE4" i="2" s="1"/>
  <c r="AD4" i="2" a="1"/>
  <c r="AD4" i="2" s="1"/>
  <c r="AC4" i="2" a="1"/>
  <c r="AC4" i="2" s="1"/>
  <c r="AB4" i="2" a="1"/>
  <c r="AB4" i="2" s="1"/>
  <c r="AA4" i="2" a="1"/>
  <c r="AA4" i="2" s="1"/>
  <c r="Z4" i="2" a="1"/>
  <c r="Z4" i="2" s="1"/>
  <c r="Y4" i="2" a="1"/>
  <c r="Y4" i="2" s="1"/>
  <c r="X4" i="2" a="1"/>
  <c r="X4" i="2" s="1"/>
  <c r="W4" i="2" a="1"/>
  <c r="W4" i="2" s="1"/>
  <c r="V4" i="2" a="1"/>
  <c r="V4" i="2" s="1"/>
  <c r="U4" i="2" a="1"/>
  <c r="U4" i="2" s="1"/>
  <c r="O4" i="2" a="1"/>
  <c r="O4" i="2" s="1"/>
  <c r="N4" i="2" a="1"/>
  <c r="N4" i="2" s="1"/>
  <c r="M4" i="2" a="1"/>
  <c r="M4" i="2" s="1"/>
  <c r="L4" i="2" a="1"/>
  <c r="L4" i="2" s="1"/>
  <c r="K4" i="2" a="1"/>
  <c r="K4" i="2" s="1"/>
  <c r="J4" i="2" a="1"/>
  <c r="J4" i="2" s="1"/>
  <c r="I4" i="2" a="1"/>
  <c r="I4" i="2" s="1"/>
  <c r="H4" i="2" a="1"/>
  <c r="H4" i="2" s="1"/>
  <c r="G4" i="2" a="1"/>
  <c r="G4" i="2" s="1"/>
  <c r="F4" i="2" a="1"/>
  <c r="F4" i="2" s="1"/>
  <c r="E23" i="2" l="1"/>
  <c r="C87" i="2"/>
  <c r="E87" i="2" s="1"/>
  <c r="E71" i="2"/>
  <c r="E77" i="2"/>
  <c r="E17" i="2"/>
  <c r="E19" i="2"/>
  <c r="D49" i="2"/>
  <c r="E53" i="2"/>
  <c r="C41" i="2"/>
  <c r="E41" i="2" s="1"/>
  <c r="E79" i="2"/>
  <c r="D75" i="2"/>
  <c r="C15" i="2"/>
  <c r="E15" i="2" s="1"/>
  <c r="E81" i="2"/>
  <c r="E9" i="2"/>
  <c r="E47" i="2"/>
  <c r="D67" i="2"/>
  <c r="E25" i="2"/>
  <c r="E7" i="2"/>
  <c r="E35" i="2"/>
  <c r="E39" i="2"/>
  <c r="D6" i="2"/>
  <c r="C67" i="2"/>
  <c r="E13" i="2"/>
  <c r="D29" i="2"/>
  <c r="E63" i="2"/>
  <c r="C49" i="2"/>
  <c r="C75" i="2"/>
  <c r="D21" i="2"/>
  <c r="C29" i="2"/>
  <c r="E57" i="2"/>
  <c r="E83" i="2"/>
  <c r="C6" i="2"/>
  <c r="E31" i="2"/>
  <c r="E59" i="2"/>
  <c r="E85" i="2"/>
  <c r="E33" i="2"/>
  <c r="E61" i="2"/>
  <c r="E11" i="2"/>
  <c r="E37" i="2"/>
  <c r="E65" i="2"/>
  <c r="E27" i="2"/>
  <c r="C21" i="2"/>
  <c r="C93" i="2" l="1"/>
  <c r="E75" i="2"/>
  <c r="E67" i="2"/>
  <c r="E6" i="2"/>
  <c r="E49" i="2"/>
  <c r="E29" i="2"/>
  <c r="D93" i="2"/>
  <c r="E21" i="2"/>
  <c r="E9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<sst xmlns="http://schemas.openxmlformats.org/spreadsheetml/2006/main" count="114" uniqueCount="68">
  <si>
    <t>Tag</t>
  </si>
  <si>
    <t>Aufwand in Std</t>
  </si>
  <si>
    <t>Datum</t>
  </si>
  <si>
    <t>Zeit</t>
  </si>
  <si>
    <t>Geplant</t>
  </si>
  <si>
    <t>Effektiv</t>
  </si>
  <si>
    <t>Differenz</t>
  </si>
  <si>
    <t>14:00 - 16:00</t>
  </si>
  <si>
    <t>16:00 - 18:00</t>
  </si>
  <si>
    <t>Reserve</t>
  </si>
  <si>
    <t>Benutzte Zeit</t>
  </si>
  <si>
    <t>Erledigt?</t>
  </si>
  <si>
    <t>Geplante Zeit</t>
  </si>
  <si>
    <t>Teil 1: Umfeld und Ablauf</t>
  </si>
  <si>
    <t>Teil 2: Projektdokumentation</t>
  </si>
  <si>
    <t>Informieren</t>
  </si>
  <si>
    <t>Planen</t>
  </si>
  <si>
    <t>Entscheiden</t>
  </si>
  <si>
    <t>Realisierung</t>
  </si>
  <si>
    <t>Kontrollieren</t>
  </si>
  <si>
    <t>Auswerten</t>
  </si>
  <si>
    <t>Tägliche Aufgaben / Sonstiges</t>
  </si>
  <si>
    <t>Expertenbesuch</t>
  </si>
  <si>
    <t>Total</t>
  </si>
  <si>
    <t>Soll-Zustand</t>
  </si>
  <si>
    <t>Ist-Zustand</t>
  </si>
  <si>
    <t>Meilenstein</t>
  </si>
  <si>
    <t>08:00 - 10:00</t>
  </si>
  <si>
    <t>10:00 - 12:00</t>
  </si>
  <si>
    <t>13:00 - 15:00</t>
  </si>
  <si>
    <t>15:00 - 17:00</t>
  </si>
  <si>
    <t>Dokumentations Template anpassen und vorbereiten</t>
  </si>
  <si>
    <t>Einfügen von Experten und weiterer Personeninformationen</t>
  </si>
  <si>
    <t>Aufgabenstellung analysieren</t>
  </si>
  <si>
    <t>Ausgangslage und Zielbild fachlich präzisieren</t>
  </si>
  <si>
    <t>relevante Metriken mit Stakeholdern abstimmen</t>
  </si>
  <si>
    <t>Testansatz für Soll-Ist-Vergleich definieren</t>
  </si>
  <si>
    <t>Projektorganisation, Firmenstandards und Arbeitsorganisation dokumentieren</t>
  </si>
  <si>
    <t>Zeitplan erstellen und pflegen.</t>
  </si>
  <si>
    <t>Architektur für Datenfluss und Komponenten festlegen</t>
  </si>
  <si>
    <t>EQL-Abfragen und Datenstruktur planen</t>
  </si>
  <si>
    <t>Arbeitspakete priorisieren</t>
  </si>
  <si>
    <t>Lösungsvarianten vergleichen</t>
  </si>
  <si>
    <t>Hauptentscheid dokumentieren und begründen</t>
  </si>
  <si>
    <t>Risiken und Grenzen festhalten</t>
  </si>
  <si>
    <t>Testläufe durchführen und Resultate erfassen</t>
  </si>
  <si>
    <t>Soll-Ist-Vergleich mit Cortex-Rohdaten</t>
  </si>
  <si>
    <t>Abweichungen analysieren und korrigieren</t>
  </si>
  <si>
    <t>Zielerreichung und Resultatqualität bewerten</t>
  </si>
  <si>
    <t>Offene Punkte und Grenzen festhalten</t>
  </si>
  <si>
    <t>Abgabe der Arbeit</t>
  </si>
  <si>
    <t>Dokumentation überarbeiten</t>
  </si>
  <si>
    <t>Schlussfazit und Kurzfassung</t>
  </si>
  <si>
    <t>Aussehen des Webinterfaces &amp; des PDF Reporting</t>
  </si>
  <si>
    <t>Kurzfassung schreiben</t>
  </si>
  <si>
    <t>Aufbau Elasticsearch, Kibana</t>
  </si>
  <si>
    <t>Connection erstellen von Cortex Cloud -&gt; Elasticsearch</t>
  </si>
  <si>
    <t>Integration von Daten auf Webseite via Typescript</t>
  </si>
  <si>
    <t>Datenabfrage, und Datenvorbereitung + Funktionalitätstest</t>
  </si>
  <si>
    <t>Erstellen des PDF Reports via Knopfdruck</t>
  </si>
  <si>
    <t>Systemdokumentation schreiben</t>
  </si>
  <si>
    <t>EQL-Abfragen bauen</t>
  </si>
  <si>
    <t>.</t>
  </si>
  <si>
    <t xml:space="preserve">Puffer </t>
  </si>
  <si>
    <t>Dokumentation weiterführen</t>
  </si>
  <si>
    <t>ZEITPLAN Nicola Maeder 22.4.2026</t>
  </si>
  <si>
    <t>Projektmanagementmethoden, Arbeitsorganisation</t>
  </si>
  <si>
    <t>F+A6:D86ALSCH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</si>
</sst>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89">
    <xf numFmtId="0" fontId="0" fillId="0" borderId="0" xfId="0"/>
    <xf numFmtId="0" fontId="5" fillId="0" borderId="2" xfId="1" applyBorder="1" applyAlignment="1">
      <alignment vertical="center"/>
    </xf>
    <xf numFmtId="0" fontId="5" fillId="0" borderId="0" xfId="1"/>
    <xf numFmtId="0" fontId="5" fillId="0" borderId="6" xfId="1" applyBorder="1" applyAlignment="1">
      <alignment vertical="center"/>
    </xf>
    <xf numFmtId="0" fontId="5" fillId="0" borderId="11" xfId="1" applyBorder="1" applyAlignment="1">
      <alignment horizontal="left" vertical="center"/>
    </xf>
    <xf numFmtId="0" fontId="5" fillId="0" borderId="11" xfId="1" applyBorder="1" applyAlignment="1">
      <alignment horizontal="center" vertical="center" textRotation="90"/>
    </xf>
    <xf numFmtId="0" fontId="5" fillId="0" borderId="4" xfId="1" applyBorder="1" applyAlignment="1">
      <alignment horizontal="center" vertical="center" textRotation="90"/>
    </xf>
    <xf numFmtId="0" fontId="5" fillId="2" borderId="11" xfId="1" applyFill="1" applyBorder="1" applyAlignment="1">
      <alignment horizontal="left" vertical="center"/>
    </xf>
    <xf numFmtId="0" fontId="5" fillId="0" borderId="13" xfId="1" applyBorder="1" applyAlignment="1">
      <alignment horizontal="right" vertical="center" textRotation="90"/>
    </xf>
    <xf numFmtId="2" fontId="5" fillId="0" borderId="13" xfId="1" applyNumberFormat="1" applyBorder="1" applyAlignment="1">
      <alignment horizontal="center" vertical="center" textRotation="90" shrinkToFit="1"/>
    </xf>
    <xf numFmtId="2" fontId="5" fillId="0" borderId="14" xfId="1" applyNumberFormat="1" applyBorder="1" applyAlignment="1">
      <alignment horizontal="center" vertical="center" textRotation="90" shrinkToFit="1"/>
    </xf>
    <xf numFmtId="2" fontId="5" fillId="0" borderId="15" xfId="1" applyNumberFormat="1" applyBorder="1" applyAlignment="1">
      <alignment horizontal="center" vertical="center" textRotation="90" shrinkToFit="1"/>
    </xf>
    <xf numFmtId="0" fontId="5" fillId="0" borderId="2" xfId="1" applyBorder="1" applyAlignment="1">
      <alignment horizontal="center" vertical="center"/>
    </xf>
    <xf numFmtId="0" fontId="5" fillId="0" borderId="7" xfId="1" applyBorder="1" applyAlignment="1">
      <alignment horizontal="center" vertical="center" textRotation="90"/>
    </xf>
    <xf numFmtId="0" fontId="5" fillId="0" borderId="8" xfId="1" applyBorder="1" applyAlignment="1">
      <alignment horizontal="right" vertical="center" textRotation="90"/>
    </xf>
    <xf numFmtId="2" fontId="5" fillId="0" borderId="8" xfId="1" applyNumberFormat="1" applyBorder="1" applyAlignment="1">
      <alignment horizontal="center" vertical="center" textRotation="90" wrapText="1" shrinkToFit="1"/>
    </xf>
    <xf numFmtId="2" fontId="5" fillId="0" borderId="0" xfId="1" applyNumberFormat="1" applyAlignment="1">
      <alignment horizontal="center" vertical="center" textRotation="90" wrapText="1" shrinkToFit="1"/>
    </xf>
    <xf numFmtId="2" fontId="5" fillId="0" borderId="1" xfId="1" applyNumberFormat="1" applyBorder="1" applyAlignment="1">
      <alignment horizontal="center" vertical="center" textRotation="90" wrapText="1" shrinkToFit="1"/>
    </xf>
    <xf numFmtId="2" fontId="5" fillId="0" borderId="5" xfId="1" applyNumberFormat="1" applyBorder="1" applyAlignment="1">
      <alignment horizontal="center" vertical="center" textRotation="90" wrapText="1" shrinkToFit="1"/>
    </xf>
    <xf numFmtId="2" fontId="5" fillId="0" borderId="3" xfId="1" applyNumberFormat="1" applyBorder="1" applyAlignment="1">
      <alignment horizontal="center" vertical="center" textRotation="90" wrapText="1" shrinkToFit="1"/>
    </xf>
    <xf numFmtId="2" fontId="5" fillId="0" borderId="4" xfId="1" applyNumberFormat="1" applyBorder="1" applyAlignment="1">
      <alignment horizontal="center" vertical="center" textRotation="90" wrapText="1" shrinkToFit="1"/>
    </xf>
    <xf numFmtId="0" fontId="5" fillId="4" borderId="11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4" borderId="15" xfId="1" applyFont="1" applyFill="1" applyBorder="1" applyAlignment="1">
      <alignment horizontal="center" vertical="center" shrinkToFit="1"/>
    </xf>
    <xf numFmtId="2" fontId="5" fillId="4" borderId="11" xfId="1" applyNumberFormat="1" applyFill="1" applyBorder="1" applyAlignment="1">
      <alignment horizontal="center" vertical="center"/>
    </xf>
    <xf numFmtId="2" fontId="5" fillId="4" borderId="5" xfId="1" applyNumberFormat="1" applyFill="1" applyBorder="1" applyAlignment="1">
      <alignment horizontal="right" vertical="center"/>
    </xf>
    <xf numFmtId="2" fontId="7" fillId="0" borderId="8" xfId="1" applyNumberFormat="1" applyFont="1" applyBorder="1" applyAlignment="1">
      <alignment shrinkToFit="1"/>
    </xf>
    <xf numFmtId="2" fontId="7" fillId="0" borderId="1" xfId="1" applyNumberFormat="1" applyFont="1" applyBorder="1" applyAlignment="1">
      <alignment shrinkToFit="1"/>
    </xf>
    <xf numFmtId="2" fontId="7" fillId="0" borderId="18" xfId="1" applyNumberFormat="1" applyFont="1" applyBorder="1" applyAlignment="1">
      <alignment shrinkToFit="1"/>
    </xf>
    <xf numFmtId="2" fontId="7" fillId="0" borderId="19" xfId="1" applyNumberFormat="1" applyFont="1" applyBorder="1" applyAlignment="1">
      <alignment shrinkToFit="1"/>
    </xf>
    <xf numFmtId="2" fontId="7" fillId="0" borderId="17" xfId="1" applyNumberFormat="1" applyFont="1" applyBorder="1" applyAlignment="1">
      <alignment shrinkToFit="1"/>
    </xf>
    <xf numFmtId="2" fontId="7" fillId="0" borderId="22" xfId="1" applyNumberFormat="1" applyFont="1" applyBorder="1" applyAlignment="1">
      <alignment shrinkToFit="1"/>
    </xf>
    <xf numFmtId="2" fontId="7" fillId="0" borderId="23" xfId="1" applyNumberFormat="1" applyFont="1" applyBorder="1" applyAlignment="1">
      <alignment shrinkToFit="1"/>
    </xf>
    <xf numFmtId="2" fontId="7" fillId="0" borderId="21" xfId="1" applyNumberFormat="1" applyFont="1" applyBorder="1" applyAlignment="1">
      <alignment shrinkToFit="1"/>
    </xf>
    <xf numFmtId="2" fontId="8" fillId="0" borderId="8" xfId="1" applyNumberFormat="1" applyFont="1" applyBorder="1" applyAlignment="1">
      <alignment shrinkToFit="1"/>
    </xf>
    <xf numFmtId="2" fontId="8" fillId="0" borderId="1" xfId="1" applyNumberFormat="1" applyFont="1" applyBorder="1" applyAlignment="1">
      <alignment shrinkToFit="1"/>
    </xf>
    <xf numFmtId="2" fontId="8" fillId="0" borderId="18" xfId="1" applyNumberFormat="1" applyFont="1" applyBorder="1" applyAlignment="1">
      <alignment shrinkToFit="1"/>
    </xf>
    <xf numFmtId="2" fontId="8" fillId="0" borderId="19" xfId="1" applyNumberFormat="1" applyFont="1" applyBorder="1" applyAlignment="1">
      <alignment shrinkToFit="1"/>
    </xf>
    <xf numFmtId="2" fontId="8" fillId="0" borderId="17" xfId="1" applyNumberFormat="1" applyFont="1" applyBorder="1" applyAlignment="1">
      <alignment shrinkToFit="1"/>
    </xf>
    <xf numFmtId="2" fontId="7" fillId="0" borderId="5" xfId="1" applyNumberFormat="1" applyFont="1" applyBorder="1" applyAlignment="1">
      <alignment shrinkToFit="1"/>
    </xf>
    <xf numFmtId="2" fontId="7" fillId="0" borderId="3" xfId="1" applyNumberFormat="1" applyFont="1" applyBorder="1" applyAlignment="1">
      <alignment shrinkToFit="1"/>
    </xf>
    <xf numFmtId="2" fontId="7" fillId="0" borderId="4" xfId="1" applyNumberFormat="1" applyFont="1" applyBorder="1" applyAlignment="1">
      <alignment shrinkToFit="1"/>
    </xf>
    <xf numFmtId="0" fontId="5" fillId="26" borderId="2" xfId="1" applyFill="1" applyBorder="1"/>
    <xf numFmtId="0" fontId="5" fillId="26" borderId="16" xfId="1" applyFill="1" applyBorder="1"/>
    <xf numFmtId="2" fontId="7" fillId="0" borderId="9" xfId="1" applyNumberFormat="1" applyFont="1" applyBorder="1" applyAlignment="1">
      <alignment shrinkToFit="1"/>
    </xf>
    <xf numFmtId="2" fontId="7" fillId="0" borderId="10" xfId="1" applyNumberFormat="1" applyFont="1" applyBorder="1" applyAlignment="1">
      <alignment shrinkToFit="1"/>
    </xf>
    <xf numFmtId="2" fontId="7" fillId="0" borderId="12" xfId="1" applyNumberFormat="1" applyFont="1" applyBorder="1" applyAlignment="1">
      <alignment shrinkToFit="1"/>
    </xf>
    <xf numFmtId="0" fontId="6" fillId="28" borderId="13" xfId="1" applyFont="1" applyFill="1" applyBorder="1" applyAlignment="1">
      <alignment shrinkToFit="1"/>
    </xf>
    <xf numFmtId="2" fontId="5" fillId="28" borderId="11" xfId="1" applyNumberFormat="1" applyFill="1" applyBorder="1" applyAlignment="1">
      <alignment horizontal="center" vertical="center"/>
    </xf>
    <xf numFmtId="2" fontId="5" fillId="28" borderId="11" xfId="1" applyNumberFormat="1" applyFill="1" applyBorder="1" applyAlignment="1">
      <alignment horizontal="right" vertical="center"/>
    </xf>
    <xf numFmtId="0" fontId="5" fillId="0" borderId="0" xfId="1" applyAlignment="1">
      <alignment horizontal="center" vertical="center" textRotation="90"/>
    </xf>
    <xf numFmtId="0" fontId="5" fillId="0" borderId="0" xfId="1" applyAlignment="1">
      <alignment horizontal="right" vertical="center" textRotation="90"/>
    </xf>
    <xf numFmtId="0" fontId="5" fillId="0" borderId="0" xfId="1" applyAlignment="1">
      <alignment horizontal="center" vertical="center"/>
    </xf>
    <xf numFmtId="0" fontId="5" fillId="0" borderId="0" xfId="1" applyAlignment="1">
      <alignment vertical="center"/>
    </xf>
    <xf numFmtId="0" fontId="5" fillId="3" borderId="0" xfId="1" applyFill="1"/>
    <xf numFmtId="0" fontId="5" fillId="29" borderId="0" xfId="1" applyFill="1"/>
    <xf numFmtId="0" fontId="5" fillId="30" borderId="0" xfId="1" applyFill="1"/>
    <xf numFmtId="0" fontId="5" fillId="31" borderId="0" xfId="1" applyFill="1"/>
    <xf numFmtId="0" fontId="5" fillId="0" borderId="0" xfId="1" applyAlignment="1">
      <alignment horizontal="right" vertical="center"/>
    </xf>
    <xf numFmtId="2" fontId="7" fillId="0" borderId="0" xfId="1" applyNumberFormat="1" applyFont="1" applyBorder="1" applyAlignment="1">
      <alignment shrinkToFit="1"/>
    </xf>
    <xf numFmtId="164" fontId="4" fillId="0" borderId="5" xfId="1" applyNumberFormat="1" applyFont="1" applyBorder="1" applyAlignment="1">
      <alignment horizontal="center" vertical="center" textRotation="90"/>
    </xf>
    <xf numFmtId="0" fontId="4" fillId="0" borderId="3" xfId="1" applyFont="1" applyBorder="1" applyAlignment="1">
      <alignment horizontal="center" vertical="center" textRotation="90"/>
    </xf>
    <xf numFmtId="20" fontId="4" fillId="0" borderId="3" xfId="1" applyNumberFormat="1" applyFont="1" applyBorder="1" applyAlignment="1">
      <alignment horizontal="center" vertical="center" textRotation="90"/>
    </xf>
    <xf numFmtId="2" fontId="8" fillId="0" borderId="0" xfId="1" applyNumberFormat="1" applyFont="1" applyBorder="1" applyAlignment="1">
      <alignment shrinkToFit="1"/>
    </xf>
    <xf numFmtId="0" fontId="5" fillId="0" borderId="0" xfId="1" applyBorder="1"/>
    <xf numFmtId="2" fontId="7" fillId="3" borderId="8" xfId="1" applyNumberFormat="1" applyFont="1" applyFill="1" applyBorder="1" applyAlignment="1">
      <alignment shrinkToFit="1"/>
    </xf>
    <xf numFmtId="2" fontId="7" fillId="3" borderId="1" xfId="1" applyNumberFormat="1" applyFont="1" applyFill="1" applyBorder="1" applyAlignment="1">
      <alignment shrinkToFit="1"/>
    </xf>
    <xf numFmtId="2" fontId="7" fillId="3" borderId="0" xfId="1" applyNumberFormat="1" applyFont="1" applyFill="1" applyBorder="1" applyAlignment="1">
      <alignment shrinkToFit="1"/>
    </xf>
    <xf numFmtId="2" fontId="7" fillId="32" borderId="1" xfId="1" applyNumberFormat="1" applyFont="1" applyFill="1" applyBorder="1" applyAlignment="1">
      <alignment shrinkToFit="1"/>
    </xf>
    <xf numFmtId="2" fontId="7" fillId="32" borderId="8" xfId="1" applyNumberFormat="1" applyFont="1" applyFill="1" applyBorder="1" applyAlignment="1">
      <alignment shrinkToFit="1"/>
    </xf>
    <xf numFmtId="0" fontId="3" fillId="3" borderId="0" xfId="1" applyFont="1" applyFill="1" applyAlignment="1">
      <alignment horizontal="left" vertical="center"/>
    </xf>
    <xf numFmtId="2" fontId="7" fillId="3" borderId="23" xfId="1" applyNumberFormat="1" applyFont="1" applyFill="1" applyBorder="1" applyAlignment="1">
      <alignment shrinkToFit="1"/>
    </xf>
    <xf numFmtId="2" fontId="7" fillId="3" borderId="22" xfId="1" applyNumberFormat="1" applyFont="1" applyFill="1" applyBorder="1" applyAlignment="1">
      <alignment shrinkToFit="1"/>
    </xf>
    <xf numFmtId="2" fontId="7" fillId="3" borderId="3" xfId="1" applyNumberFormat="1" applyFont="1" applyFill="1" applyBorder="1" applyAlignment="1">
      <alignment shrinkToFit="1"/>
    </xf>
    <xf numFmtId="2" fontId="7" fillId="3" borderId="5" xfId="1" applyNumberFormat="1" applyFont="1" applyFill="1" applyBorder="1" applyAlignment="1">
      <alignment shrinkToFit="1"/>
    </xf>
    <xf numFmtId="2" fontId="7" fillId="3" borderId="21" xfId="1" applyNumberFormat="1" applyFont="1" applyFill="1" applyBorder="1" applyAlignment="1">
      <alignment shrinkToFit="1"/>
    </xf>
    <xf numFmtId="0" fontId="5" fillId="32" borderId="0" xfId="1" applyFill="1"/>
    <xf numFmtId="0" fontId="2" fillId="0" borderId="0" xfId="1" applyFont="1"/>
    <xf numFmtId="2" fontId="7" fillId="29" borderId="9" xfId="1" applyNumberFormat="1" applyFont="1" applyFill="1" applyBorder="1" applyAlignment="1">
      <alignment shrinkToFit="1"/>
    </xf>
    <xf numFmtId="2" fontId="7" fillId="29" borderId="10" xfId="1" applyNumberFormat="1" applyFont="1" applyFill="1" applyBorder="1" applyAlignment="1">
      <alignment shrinkToFit="1"/>
    </xf>
    <xf numFmtId="0" fontId="5" fillId="0" borderId="2" xfId="1" applyBorder="1" applyAlignment="1">
      <alignment horizontal="center" vertical="center"/>
    </xf>
    <xf numFmtId="0" fontId="5" fillId="0" borderId="3" xfId="1" applyBorder="1" applyAlignment="1">
      <alignment horizontal="center" vertical="center"/>
    </xf>
    <xf numFmtId="0" fontId="5" fillId="0" borderId="4" xfId="1" applyBorder="1" applyAlignment="1">
      <alignment horizontal="center" vertical="center"/>
    </xf>
    <xf numFmtId="0" fontId="5" fillId="0" borderId="7" xfId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6" fillId="0" borderId="5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14" fontId="5" fillId="0" borderId="9" xfId="1" applyNumberFormat="1" applyBorder="1" applyAlignment="1">
      <alignment horizontal="center" vertical="center" shrinkToFit="1"/>
    </xf>
    <xf numFmtId="14" fontId="5" fillId="0" borderId="10" xfId="1" applyNumberFormat="1" applyBorder="1" applyAlignment="1">
      <alignment horizontal="center" vertical="center" shrinkToFit="1"/>
    </xf>
    <xf numFmtId="14" fontId="5" fillId="0" borderId="12" xfId="1" applyNumberFormat="1" applyBorder="1" applyAlignment="1">
      <alignment horizontal="center" vertical="center" shrinkToFit="1"/>
    </xf>
    <xf numFmtId="14" fontId="5" fillId="0" borderId="9" xfId="1" applyNumberFormat="1" applyBorder="1" applyAlignment="1">
      <alignment horizontal="center" shrinkToFit="1"/>
    </xf>
    <xf numFmtId="14" fontId="5" fillId="0" borderId="10" xfId="1" applyNumberFormat="1" applyBorder="1" applyAlignment="1">
      <alignment horizontal="center" shrinkToFit="1"/>
    </xf>
    <xf numFmtId="14" fontId="5" fillId="0" borderId="12" xfId="1" applyNumberFormat="1" applyBorder="1" applyAlignment="1">
      <alignment horizontal="center" shrinkToFit="1"/>
    </xf>
    <xf numFmtId="20" fontId="5" fillId="4" borderId="13" xfId="1" applyNumberFormat="1" applyFill="1" applyBorder="1" applyAlignment="1">
      <alignment horizontal="center" vertical="center" textRotation="90"/>
    </xf>
    <xf numFmtId="20" fontId="5" fillId="4" borderId="14" xfId="1" applyNumberFormat="1" applyFill="1" applyBorder="1" applyAlignment="1">
      <alignment horizontal="center" vertical="center" textRotation="90"/>
    </xf>
    <xf numFmtId="20" fontId="5" fillId="4" borderId="15" xfId="1" applyNumberFormat="1" applyFill="1" applyBorder="1" applyAlignment="1">
      <alignment horizontal="center" vertical="center" textRotation="90"/>
    </xf>
    <xf numFmtId="0" fontId="5" fillId="4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5" borderId="4" xfId="1" applyFont="1" applyFill="1" applyBorder="1" applyAlignment="1">
      <alignment horizontal="left" vertical="center" shrinkToFit="1"/>
    </xf>
    <xf numFmtId="0" fontId="5" fillId="5" borderId="17" xfId="1" applyFill="1" applyBorder="1" applyAlignment="1">
      <alignment horizontal="left" vertical="center" shrinkToFit="1"/>
    </xf>
    <xf numFmtId="2" fontId="5" fillId="0" borderId="2" xfId="1" applyNumberFormat="1" applyBorder="1" applyAlignment="1">
      <alignment horizontal="center" vertical="center"/>
    </xf>
    <xf numFmtId="2" fontId="5" fillId="0" borderId="16" xfId="1" applyNumberFormat="1" applyBorder="1" applyAlignment="1">
      <alignment horizontal="center" vertical="center"/>
    </xf>
    <xf numFmtId="2" fontId="5" fillId="0" borderId="5" xfId="1" applyNumberFormat="1" applyBorder="1" applyAlignment="1">
      <alignment horizontal="center" vertical="center"/>
    </xf>
    <xf numFmtId="2" fontId="5" fillId="0" borderId="18" xfId="1" applyNumberFormat="1" applyBorder="1" applyAlignment="1">
      <alignment horizontal="center" vertical="center"/>
    </xf>
    <xf numFmtId="2" fontId="5" fillId="0" borderId="2" xfId="1" applyNumberFormat="1" applyBorder="1" applyAlignment="1">
      <alignment horizontal="right" vertical="center"/>
    </xf>
    <xf numFmtId="2" fontId="5" fillId="0" borderId="16" xfId="1" applyNumberFormat="1" applyBorder="1" applyAlignment="1">
      <alignment horizontal="right" vertical="center"/>
    </xf>
    <xf numFmtId="0" fontId="5" fillId="0" borderId="1" xfId="1" applyBorder="1" applyAlignment="1">
      <alignment horizontal="center" vertical="center" textRotation="180" wrapText="1"/>
    </xf>
    <xf numFmtId="0" fontId="5" fillId="0" borderId="12" xfId="1" applyBorder="1" applyAlignment="1">
      <alignment horizontal="center" vertical="center" textRotation="180" wrapText="1"/>
    </xf>
    <xf numFmtId="0" fontId="5" fillId="4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21" xfId="1" applyFont="1" applyFill="1" applyBorder="1" applyAlignment="1">
      <alignment horizontal="left" vertical="center" shrinkToFit="1"/>
    </xf>
    <xf numFmtId="2" fontId="5" fillId="0" borderId="20" xfId="1" applyNumberFormat="1" applyBorder="1" applyAlignment="1">
      <alignment horizontal="center" vertical="center"/>
    </xf>
    <xf numFmtId="2" fontId="5" fillId="0" borderId="20" xfId="1" applyNumberFormat="1" applyBorder="1" applyAlignment="1">
      <alignment horizontal="right" vertical="center"/>
    </xf>
    <xf numFmtId="2" fontId="7" fillId="6" borderId="5" xfId="1" applyNumberFormat="1" applyFont="1" applyFill="1" applyBorder="1" applyAlignment="1">
      <alignment horizontal="center" vertical="center" textRotation="90" shrinkToFit="1"/>
    </xf>
    <xf numFmtId="2" fontId="7" fillId="6" borderId="3" xfId="1" applyNumberFormat="1" applyFont="1" applyFill="1" applyBorder="1" applyAlignment="1">
      <alignment horizontal="center" vertical="center" textRotation="90" shrinkToFit="1"/>
    </xf>
    <xf numFmtId="2" fontId="7" fillId="6" borderId="4" xfId="1" applyNumberFormat="1" applyFont="1" applyFill="1" applyBorder="1" applyAlignment="1">
      <alignment horizontal="center" vertical="center" textRotation="90" shrinkToFit="1"/>
    </xf>
    <xf numFmtId="2" fontId="7" fillId="6" borderId="9" xfId="1" applyNumberFormat="1" applyFont="1" applyFill="1" applyBorder="1" applyAlignment="1">
      <alignment horizontal="center" vertical="center" textRotation="90" shrinkToFit="1"/>
    </xf>
    <xf numFmtId="2" fontId="7" fillId="6" borderId="10" xfId="1" applyNumberFormat="1" applyFont="1" applyFill="1" applyBorder="1" applyAlignment="1">
      <alignment horizontal="center" vertical="center" textRotation="90" shrinkToFit="1"/>
    </xf>
    <xf numFmtId="2" fontId="7" fillId="6" borderId="12" xfId="1" applyNumberFormat="1" applyFont="1" applyFill="1" applyBorder="1" applyAlignment="1">
      <alignment horizontal="center" vertical="center" textRotation="90" shrinkToFit="1"/>
    </xf>
    <xf numFmtId="0" fontId="5" fillId="6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6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7" borderId="4" xfId="1" applyFont="1" applyFill="1" applyBorder="1" applyAlignment="1">
      <alignment horizontal="left" vertical="center" shrinkToFit="1"/>
    </xf>
    <xf numFmtId="0" fontId="5" fillId="7" borderId="17" xfId="1" applyFill="1" applyBorder="1" applyAlignment="1">
      <alignment horizontal="left" vertical="center" shrinkToFit="1"/>
    </xf>
    <xf numFmtId="0" fontId="5" fillId="6" borderId="2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6" borderId="6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6" borderId="4" xfId="1" applyFont="1" applyFill="1" applyBorder="1" applyAlignment="1">
      <alignment horizontal="center" vertical="center" shrinkToFit="1"/>
    </xf>
    <xf numFmtId="0" fontId="6" fillId="6" borderId="12" xfId="1" applyFont="1" applyFill="1" applyBorder="1" applyAlignment="1">
      <alignment horizontal="center" vertical="center" shrinkToFit="1"/>
    </xf>
    <xf numFmtId="2" fontId="5" fillId="6" borderId="2" xfId="1" applyNumberFormat="1" applyFill="1" applyBorder="1" applyAlignment="1">
      <alignment horizontal="center" vertical="center"/>
    </xf>
    <xf numFmtId="2" fontId="5" fillId="6" borderId="6" xfId="1" applyNumberFormat="1" applyFill="1" applyBorder="1" applyAlignment="1">
      <alignment horizontal="center" vertical="center"/>
    </xf>
    <xf numFmtId="2" fontId="5" fillId="6" borderId="5" xfId="1" applyNumberFormat="1" applyFill="1" applyBorder="1" applyAlignment="1">
      <alignment horizontal="right" vertical="center"/>
    </xf>
    <xf numFmtId="2" fontId="5" fillId="6" borderId="9" xfId="1" applyNumberFormat="1" applyFill="1" applyBorder="1" applyAlignment="1">
      <alignment horizontal="right" vertical="center"/>
    </xf>
    <xf numFmtId="2" fontId="7" fillId="8" borderId="5" xfId="1" applyNumberFormat="1" applyFont="1" applyFill="1" applyBorder="1" applyAlignment="1">
      <alignment horizontal="center" shrinkToFit="1"/>
    </xf>
    <xf numFmtId="2" fontId="7" fillId="8" borderId="3" xfId="1" applyNumberFormat="1" applyFont="1" applyFill="1" applyBorder="1" applyAlignment="1">
      <alignment horizontal="center" shrinkToFit="1"/>
    </xf>
    <xf numFmtId="2" fontId="7" fillId="8" borderId="4" xfId="1" applyNumberFormat="1" applyFont="1" applyFill="1" applyBorder="1" applyAlignment="1">
      <alignment horizontal="center" shrinkToFit="1"/>
    </xf>
    <xf numFmtId="2" fontId="7" fillId="8" borderId="9" xfId="1" applyNumberFormat="1" applyFont="1" applyFill="1" applyBorder="1" applyAlignment="1">
      <alignment horizontal="center" shrinkToFit="1"/>
    </xf>
    <xf numFmtId="2" fontId="7" fillId="8" borderId="10" xfId="1" applyNumberFormat="1" applyFont="1" applyFill="1" applyBorder="1" applyAlignment="1">
      <alignment horizontal="center" shrinkToFit="1"/>
    </xf>
    <xf numFmtId="2" fontId="7" fillId="8" borderId="12" xfId="1" applyNumberFormat="1" applyFont="1" applyFill="1" applyBorder="1" applyAlignment="1">
      <alignment horizontal="center" shrinkToFit="1"/>
    </xf>
    <xf numFmtId="0" fontId="5" fillId="9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9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0" borderId="3" xfId="1" applyFont="1" applyFill="1" applyBorder="1" applyAlignment="1">
      <alignment horizontal="left" vertical="center" shrinkToFit="1"/>
    </xf>
    <xf numFmtId="0" fontId="5" fillId="10" borderId="19" xfId="1" applyFill="1" applyBorder="1" applyAlignment="1">
      <alignment horizontal="left" vertical="center" shrinkToFit="1"/>
    </xf>
    <xf numFmtId="0" fontId="5" fillId="6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7" borderId="19" xfId="1" applyFill="1" applyBorder="1" applyAlignment="1">
      <alignment horizontal="left" vertical="center" shrinkToFit="1"/>
    </xf>
    <xf numFmtId="2" fontId="5" fillId="0" borderId="6" xfId="1" applyNumberFormat="1" applyBorder="1" applyAlignment="1">
      <alignment horizontal="right" vertical="center"/>
    </xf>
    <xf numFmtId="0" fontId="5" fillId="8" borderId="2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8" borderId="6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8" borderId="4" xfId="1" applyFont="1" applyFill="1" applyBorder="1" applyAlignment="1">
      <alignment horizontal="center" shrinkToFit="1"/>
    </xf>
    <xf numFmtId="0" fontId="6" fillId="8" borderId="12" xfId="1" applyFont="1" applyFill="1" applyBorder="1" applyAlignment="1">
      <alignment horizontal="center" shrinkToFit="1"/>
    </xf>
    <xf numFmtId="2" fontId="5" fillId="8" borderId="2" xfId="1" applyNumberFormat="1" applyFill="1" applyBorder="1" applyAlignment="1">
      <alignment horizontal="center" vertical="center"/>
    </xf>
    <xf numFmtId="2" fontId="5" fillId="8" borderId="6" xfId="1" applyNumberFormat="1" applyFill="1" applyBorder="1" applyAlignment="1">
      <alignment horizontal="center" vertical="center"/>
    </xf>
    <xf numFmtId="2" fontId="5" fillId="8" borderId="5" xfId="1" applyNumberFormat="1" applyFill="1" applyBorder="1" applyAlignment="1">
      <alignment horizontal="right" vertical="center"/>
    </xf>
    <xf numFmtId="2" fontId="5" fillId="8" borderId="18" xfId="1" applyNumberFormat="1" applyFill="1" applyBorder="1" applyAlignment="1">
      <alignment horizontal="right" vertical="center"/>
    </xf>
    <xf numFmtId="0" fontId="5" fillId="11" borderId="2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1" borderId="6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11" borderId="4" xfId="1" applyFont="1" applyFill="1" applyBorder="1" applyAlignment="1">
      <alignment horizontal="center" shrinkToFit="1"/>
    </xf>
    <xf numFmtId="0" fontId="6" fillId="11" borderId="12" xfId="1" applyFont="1" applyFill="1" applyBorder="1" applyAlignment="1">
      <alignment horizontal="center" shrinkToFit="1"/>
    </xf>
    <xf numFmtId="2" fontId="5" fillId="11" borderId="2" xfId="1" applyNumberFormat="1" applyFill="1" applyBorder="1" applyAlignment="1">
      <alignment horizontal="center" vertical="center"/>
    </xf>
    <xf numFmtId="2" fontId="5" fillId="11" borderId="6" xfId="1" applyNumberFormat="1" applyFill="1" applyBorder="1" applyAlignment="1">
      <alignment horizontal="center" vertical="center"/>
    </xf>
    <xf numFmtId="2" fontId="5" fillId="11" borderId="5" xfId="1" applyNumberFormat="1" applyFill="1" applyBorder="1" applyAlignment="1">
      <alignment horizontal="right" vertical="center"/>
    </xf>
    <xf numFmtId="2" fontId="5" fillId="11" borderId="9" xfId="1" applyNumberFormat="1" applyFill="1" applyBorder="1" applyAlignment="1">
      <alignment horizontal="right" vertical="center"/>
    </xf>
    <xf numFmtId="2" fontId="7" fillId="11" borderId="5" xfId="1" applyNumberFormat="1" applyFont="1" applyFill="1" applyBorder="1" applyAlignment="1">
      <alignment horizontal="center" shrinkToFit="1"/>
    </xf>
    <xf numFmtId="2" fontId="7" fillId="11" borderId="3" xfId="1" applyNumberFormat="1" applyFont="1" applyFill="1" applyBorder="1" applyAlignment="1">
      <alignment horizontal="center" shrinkToFit="1"/>
    </xf>
    <xf numFmtId="2" fontId="7" fillId="11" borderId="4" xfId="1" applyNumberFormat="1" applyFont="1" applyFill="1" applyBorder="1" applyAlignment="1">
      <alignment horizontal="center" shrinkToFit="1"/>
    </xf>
    <xf numFmtId="2" fontId="7" fillId="11" borderId="9" xfId="1" applyNumberFormat="1" applyFont="1" applyFill="1" applyBorder="1" applyAlignment="1">
      <alignment horizontal="center" shrinkToFit="1"/>
    </xf>
    <xf numFmtId="2" fontId="7" fillId="11" borderId="10" xfId="1" applyNumberFormat="1" applyFont="1" applyFill="1" applyBorder="1" applyAlignment="1">
      <alignment horizontal="center" shrinkToFit="1"/>
    </xf>
    <xf numFmtId="2" fontId="7" fillId="11" borderId="12" xfId="1" applyNumberFormat="1" applyFont="1" applyFill="1" applyBorder="1" applyAlignment="1">
      <alignment horizontal="center" shrinkToFit="1"/>
    </xf>
    <xf numFmtId="0" fontId="5" fillId="9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0" borderId="23" xfId="1" applyFont="1" applyFill="1" applyBorder="1" applyAlignment="1">
      <alignment horizontal="left" vertical="center" shrinkToFit="1"/>
    </xf>
    <xf numFmtId="0" fontId="5" fillId="12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2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3" borderId="3" xfId="1" applyFont="1" applyFill="1" applyBorder="1" applyAlignment="1">
      <alignment horizontal="left" vertical="center" shrinkToFit="1"/>
    </xf>
    <xf numFmtId="0" fontId="5" fillId="13" borderId="19" xfId="1" applyFill="1" applyBorder="1" applyAlignment="1">
      <alignment horizontal="left" vertical="center" shrinkToFit="1"/>
    </xf>
    <xf numFmtId="0" fontId="5" fillId="12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3" borderId="23" xfId="1" applyFont="1" applyFill="1" applyBorder="1" applyAlignment="1">
      <alignment horizontal="left" vertical="center" shrinkToFit="1"/>
    </xf>
    <xf numFmtId="0" fontId="5" fillId="14" borderId="2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4" borderId="6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14" borderId="4" xfId="1" applyFont="1" applyFill="1" applyBorder="1" applyAlignment="1">
      <alignment horizontal="center" shrinkToFit="1"/>
    </xf>
    <xf numFmtId="0" fontId="6" fillId="14" borderId="12" xfId="1" applyFont="1" applyFill="1" applyBorder="1" applyAlignment="1">
      <alignment horizontal="center" shrinkToFit="1"/>
    </xf>
    <xf numFmtId="2" fontId="5" fillId="14" borderId="2" xfId="1" applyNumberFormat="1" applyFill="1" applyBorder="1" applyAlignment="1">
      <alignment horizontal="center" vertical="center"/>
    </xf>
    <xf numFmtId="2" fontId="5" fillId="14" borderId="16" xfId="1" applyNumberFormat="1" applyFill="1" applyBorder="1" applyAlignment="1">
      <alignment horizontal="center" vertical="center"/>
    </xf>
    <xf numFmtId="2" fontId="5" fillId="14" borderId="6" xfId="1" applyNumberFormat="1" applyFill="1" applyBorder="1" applyAlignment="1">
      <alignment horizontal="center" vertical="center"/>
    </xf>
    <xf numFmtId="2" fontId="7" fillId="14" borderId="5" xfId="1" applyNumberFormat="1" applyFont="1" applyFill="1" applyBorder="1" applyAlignment="1">
      <alignment horizontal="center" shrinkToFit="1"/>
    </xf>
    <xf numFmtId="2" fontId="7" fillId="14" borderId="3" xfId="1" applyNumberFormat="1" applyFont="1" applyFill="1" applyBorder="1" applyAlignment="1">
      <alignment horizontal="center" shrinkToFit="1"/>
    </xf>
    <xf numFmtId="2" fontId="7" fillId="14" borderId="4" xfId="1" applyNumberFormat="1" applyFont="1" applyFill="1" applyBorder="1" applyAlignment="1">
      <alignment horizontal="center" shrinkToFit="1"/>
    </xf>
    <xf numFmtId="2" fontId="7" fillId="14" borderId="9" xfId="1" applyNumberFormat="1" applyFont="1" applyFill="1" applyBorder="1" applyAlignment="1">
      <alignment horizontal="center" shrinkToFit="1"/>
    </xf>
    <xf numFmtId="2" fontId="7" fillId="14" borderId="10" xfId="1" applyNumberFormat="1" applyFont="1" applyFill="1" applyBorder="1" applyAlignment="1">
      <alignment horizontal="center" shrinkToFit="1"/>
    </xf>
    <xf numFmtId="2" fontId="7" fillId="14" borderId="12" xfId="1" applyNumberFormat="1" applyFont="1" applyFill="1" applyBorder="1" applyAlignment="1">
      <alignment horizontal="center" shrinkToFit="1"/>
    </xf>
    <xf numFmtId="0" fontId="5" fillId="17" borderId="2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7" borderId="6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17" borderId="4" xfId="1" applyFont="1" applyFill="1" applyBorder="1" applyAlignment="1">
      <alignment horizontal="center" shrinkToFit="1"/>
    </xf>
    <xf numFmtId="0" fontId="6" fillId="17" borderId="12" xfId="1" applyFont="1" applyFill="1" applyBorder="1" applyAlignment="1">
      <alignment horizontal="center" shrinkToFit="1"/>
    </xf>
    <xf numFmtId="2" fontId="5" fillId="17" borderId="2" xfId="1" applyNumberFormat="1" applyFill="1" applyBorder="1" applyAlignment="1">
      <alignment horizontal="center" vertical="center"/>
    </xf>
    <xf numFmtId="2" fontId="5" fillId="17" borderId="16" xfId="1" applyNumberFormat="1" applyFill="1" applyBorder="1" applyAlignment="1">
      <alignment horizontal="center" vertical="center"/>
    </xf>
    <xf numFmtId="2" fontId="5" fillId="17" borderId="6" xfId="1" applyNumberFormat="1" applyFill="1" applyBorder="1" applyAlignment="1">
      <alignment horizontal="center" vertical="center"/>
    </xf>
    <xf numFmtId="2" fontId="7" fillId="17" borderId="5" xfId="1" applyNumberFormat="1" applyFont="1" applyFill="1" applyBorder="1" applyAlignment="1">
      <alignment horizontal="center" shrinkToFit="1"/>
    </xf>
    <xf numFmtId="2" fontId="7" fillId="17" borderId="3" xfId="1" applyNumberFormat="1" applyFont="1" applyFill="1" applyBorder="1" applyAlignment="1">
      <alignment horizontal="center" shrinkToFit="1"/>
    </xf>
    <xf numFmtId="2" fontId="7" fillId="17" borderId="4" xfId="1" applyNumberFormat="1" applyFont="1" applyFill="1" applyBorder="1" applyAlignment="1">
      <alignment horizontal="center" shrinkToFit="1"/>
    </xf>
    <xf numFmtId="2" fontId="7" fillId="17" borderId="9" xfId="1" applyNumberFormat="1" applyFont="1" applyFill="1" applyBorder="1" applyAlignment="1">
      <alignment horizontal="center" shrinkToFit="1"/>
    </xf>
    <xf numFmtId="2" fontId="7" fillId="17" borderId="10" xfId="1" applyNumberFormat="1" applyFont="1" applyFill="1" applyBorder="1" applyAlignment="1">
      <alignment horizontal="center" shrinkToFit="1"/>
    </xf>
    <xf numFmtId="2" fontId="7" fillId="17" borderId="12" xfId="1" applyNumberFormat="1" applyFont="1" applyFill="1" applyBorder="1" applyAlignment="1">
      <alignment horizontal="center" shrinkToFit="1"/>
    </xf>
    <xf numFmtId="0" fontId="5" fillId="15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5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6" borderId="3" xfId="1" applyFont="1" applyFill="1" applyBorder="1" applyAlignment="1">
      <alignment horizontal="left" vertical="center" shrinkToFit="1"/>
    </xf>
    <xf numFmtId="0" fontId="5" fillId="16" borderId="19" xfId="1" applyFill="1" applyBorder="1" applyAlignment="1">
      <alignment horizontal="left" vertical="center" shrinkToFit="1"/>
    </xf>
    <xf numFmtId="0" fontId="5" fillId="15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6" borderId="23" xfId="1" applyFont="1" applyFill="1" applyBorder="1" applyAlignment="1">
      <alignment horizontal="left" vertical="center" shrinkToFit="1"/>
    </xf>
    <xf numFmtId="0" fontId="5" fillId="18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8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9" borderId="23" xfId="1" applyFont="1" applyFill="1" applyBorder="1" applyAlignment="1">
      <alignment horizontal="left" vertical="center" wrapText="1" shrinkToFit="1"/>
    </xf>
    <xf numFmtId="0" fontId="5" fillId="19" borderId="19" xfId="1" applyFill="1" applyBorder="1" applyAlignment="1">
      <alignment horizontal="left" vertical="center" wrapText="1" shrinkToFit="1"/>
    </xf>
    <xf numFmtId="0" fontId="5" fillId="18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9" borderId="23" xfId="1" applyFont="1" applyFill="1" applyBorder="1" applyAlignment="1">
      <alignment horizontal="left" vertical="center" shrinkToFit="1"/>
    </xf>
    <xf numFmtId="0" fontId="5" fillId="19" borderId="19" xfId="1" applyFill="1" applyBorder="1" applyAlignment="1">
      <alignment horizontal="left" vertical="center" shrinkToFit="1"/>
    </xf>
    <xf numFmtId="0" fontId="2" fillId="19" borderId="23" xfId="1" applyFont="1" applyFill="1" applyBorder="1" applyAlignment="1">
      <alignment horizontal="left" vertical="center" wrapText="1" shrinkToFit="1"/>
    </xf>
    <xf numFmtId="2" fontId="7" fillId="20" borderId="5" xfId="1" applyNumberFormat="1" applyFont="1" applyFill="1" applyBorder="1" applyAlignment="1">
      <alignment horizontal="center" shrinkToFit="1"/>
    </xf>
    <xf numFmtId="2" fontId="7" fillId="20" borderId="3" xfId="1" applyNumberFormat="1" applyFont="1" applyFill="1" applyBorder="1" applyAlignment="1">
      <alignment horizontal="center" shrinkToFit="1"/>
    </xf>
    <xf numFmtId="2" fontId="7" fillId="20" borderId="4" xfId="1" applyNumberFormat="1" applyFont="1" applyFill="1" applyBorder="1" applyAlignment="1">
      <alignment horizontal="center" shrinkToFit="1"/>
    </xf>
    <xf numFmtId="2" fontId="7" fillId="20" borderId="18" xfId="1" applyNumberFormat="1" applyFont="1" applyFill="1" applyBorder="1" applyAlignment="1">
      <alignment horizontal="center" shrinkToFit="1"/>
    </xf>
    <xf numFmtId="2" fontId="7" fillId="20" borderId="19" xfId="1" applyNumberFormat="1" applyFont="1" applyFill="1" applyBorder="1" applyAlignment="1">
      <alignment horizontal="center" shrinkToFit="1"/>
    </xf>
    <xf numFmtId="2" fontId="7" fillId="20" borderId="17" xfId="1" applyNumberFormat="1" applyFont="1" applyFill="1" applyBorder="1" applyAlignment="1">
      <alignment horizontal="center" shrinkToFit="1"/>
    </xf>
    <xf numFmtId="0" fontId="5" fillId="21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1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2" borderId="3" xfId="1" applyFont="1" applyFill="1" applyBorder="1" applyAlignment="1">
      <alignment horizontal="left" vertical="center" shrinkToFit="1"/>
    </xf>
    <xf numFmtId="0" fontId="5" fillId="22" borderId="19" xfId="1" applyFill="1" applyBorder="1" applyAlignment="1">
      <alignment horizontal="left" vertical="center" shrinkToFit="1"/>
    </xf>
    <xf numFmtId="0" fontId="5" fillId="20" borderId="2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0" borderId="6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0" borderId="4" xfId="1" applyFont="1" applyFill="1" applyBorder="1" applyAlignment="1">
      <alignment horizontal="center" shrinkToFit="1"/>
    </xf>
    <xf numFmtId="0" fontId="6" fillId="20" borderId="12" xfId="1" applyFont="1" applyFill="1" applyBorder="1" applyAlignment="1">
      <alignment horizontal="center" shrinkToFit="1"/>
    </xf>
    <xf numFmtId="2" fontId="5" fillId="20" borderId="2" xfId="1" applyNumberFormat="1" applyFill="1" applyBorder="1" applyAlignment="1">
      <alignment horizontal="center" vertical="center"/>
    </xf>
    <xf numFmtId="2" fontId="5" fillId="20" borderId="16" xfId="1" applyNumberFormat="1" applyFill="1" applyBorder="1" applyAlignment="1">
      <alignment horizontal="center" vertical="center"/>
    </xf>
    <xf numFmtId="2" fontId="5" fillId="20" borderId="6" xfId="1" applyNumberFormat="1" applyFill="1" applyBorder="1" applyAlignment="1">
      <alignment horizontal="center" vertical="center"/>
    </xf>
    <xf numFmtId="0" fontId="5" fillId="23" borderId="2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3" borderId="6" xfId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6" borderId="4" xfId="1" applyFont="1" applyFill="1" applyBorder="1" applyAlignment="1">
      <alignment horizontal="center" shrinkToFit="1"/>
    </xf>
    <xf numFmtId="0" fontId="6" fillId="6" borderId="12" xfId="1" applyFont="1" applyFill="1" applyBorder="1" applyAlignment="1">
      <alignment horizontal="center" shrinkToFit="1"/>
    </xf>
    <xf numFmtId="2" fontId="5" fillId="6" borderId="16" xfId="1" applyNumberFormat="1" applyFill="1" applyBorder="1" applyAlignment="1">
      <alignment horizontal="center" vertical="center"/>
    </xf>
    <xf numFmtId="2" fontId="7" fillId="6" borderId="5" xfId="1" applyNumberFormat="1" applyFont="1" applyFill="1" applyBorder="1" applyAlignment="1">
      <alignment horizontal="center" shrinkToFit="1"/>
    </xf>
    <xf numFmtId="2" fontId="7" fillId="6" borderId="3" xfId="1" applyNumberFormat="1" applyFont="1" applyFill="1" applyBorder="1" applyAlignment="1">
      <alignment horizontal="center" shrinkToFit="1"/>
    </xf>
    <xf numFmtId="2" fontId="7" fillId="6" borderId="4" xfId="1" applyNumberFormat="1" applyFont="1" applyFill="1" applyBorder="1" applyAlignment="1">
      <alignment horizontal="center" shrinkToFit="1"/>
    </xf>
    <xf numFmtId="2" fontId="7" fillId="6" borderId="9" xfId="1" applyNumberFormat="1" applyFont="1" applyFill="1" applyBorder="1" applyAlignment="1">
      <alignment horizontal="center" shrinkToFit="1"/>
    </xf>
    <xf numFmtId="2" fontId="7" fillId="6" borderId="10" xfId="1" applyNumberFormat="1" applyFont="1" applyFill="1" applyBorder="1" applyAlignment="1">
      <alignment horizontal="center" shrinkToFit="1"/>
    </xf>
    <xf numFmtId="2" fontId="7" fillId="6" borderId="12" xfId="1" applyNumberFormat="1" applyFont="1" applyFill="1" applyBorder="1" applyAlignment="1">
      <alignment horizontal="center" shrinkToFit="1"/>
    </xf>
    <xf numFmtId="0" fontId="5" fillId="21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2" borderId="21" xfId="1" applyFont="1" applyFill="1" applyBorder="1" applyAlignment="1">
      <alignment horizontal="left" vertical="center" shrinkToFit="1"/>
    </xf>
    <xf numFmtId="0" fontId="5" fillId="22" borderId="17" xfId="1" applyFill="1" applyBorder="1" applyAlignment="1">
      <alignment horizontal="left" vertical="center" shrinkToFit="1"/>
    </xf>
    <xf numFmtId="0" fontId="5" fillId="21" borderId="7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2" borderId="0" xfId="1" applyFont="1" applyFill="1" applyAlignment="1">
      <alignment horizontal="left" vertical="center" shrinkToFit="1"/>
    </xf>
    <xf numFmtId="0" fontId="5" fillId="22" borderId="0" xfId="1" applyFill="1" applyAlignment="1">
      <alignment horizontal="left" vertical="center" shrinkToFit="1"/>
    </xf>
    <xf numFmtId="0" fontId="5" fillId="7" borderId="2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7" borderId="16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4" borderId="3" xfId="1" applyFont="1" applyFill="1" applyBorder="1" applyAlignment="1">
      <alignment horizontal="left" vertical="center" shrinkToFit="1"/>
    </xf>
    <xf numFmtId="0" fontId="5" fillId="24" borderId="19" xfId="1" applyFill="1" applyBorder="1" applyAlignment="1">
      <alignment horizontal="left" vertical="center" shrinkToFit="1"/>
    </xf>
    <xf numFmtId="0" fontId="5" fillId="7" borderId="20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4" borderId="23" xfId="1" applyFont="1" applyFill="1" applyBorder="1" applyAlignment="1">
      <alignment horizontal="left" vertical="center" shrinkToFit="1"/>
    </xf>
    <xf numFmtId="0" fontId="5" fillId="7" borderId="7" xfId="1" applyFill="1" applyBorder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4" borderId="0" xfId="1" applyFont="1" applyFill="1" applyAlignment="1">
      <alignment horizontal="left" vertical="center" shrinkToFit="1"/>
    </xf>
    <xf numFmtId="2" fontId="7" fillId="25" borderId="5" xfId="1" applyNumberFormat="1" applyFont="1" applyFill="1" applyBorder="1" applyAlignment="1">
      <alignment horizontal="center" shrinkToFit="1"/>
    </xf>
    <xf numFmtId="2" fontId="7" fillId="25" borderId="3" xfId="1" applyNumberFormat="1" applyFont="1" applyFill="1" applyBorder="1" applyAlignment="1">
      <alignment horizontal="center" shrinkToFit="1"/>
    </xf>
    <xf numFmtId="2" fontId="7" fillId="25" borderId="4" xfId="1" applyNumberFormat="1" applyFont="1" applyFill="1" applyBorder="1" applyAlignment="1">
      <alignment horizontal="center" shrinkToFit="1"/>
    </xf>
    <xf numFmtId="2" fontId="7" fillId="25" borderId="9" xfId="1" applyNumberFormat="1" applyFont="1" applyFill="1" applyBorder="1" applyAlignment="1">
      <alignment horizontal="center" shrinkToFit="1"/>
    </xf>
    <xf numFmtId="2" fontId="7" fillId="25" borderId="10" xfId="1" applyNumberFormat="1" applyFont="1" applyFill="1" applyBorder="1" applyAlignment="1">
      <alignment horizontal="center" shrinkToFit="1"/>
    </xf>
    <xf numFmtId="2" fontId="7" fillId="25" borderId="12" xfId="1" applyNumberFormat="1" applyFont="1" applyFill="1" applyBorder="1" applyAlignment="1">
      <alignment horizontal="center" shrinkToFit="1"/>
    </xf>
    <xf numFmtId="0" fontId="2" fillId="27" borderId="4" xfId="1" applyFont="1" applyFill="1" applyBorder="1" applyAlignment="1">
      <alignment horizontal="left" vertical="center" shrinkToFit="1"/>
    </xf>
    <xf numFmtId="0" fontId="5" fillId="27" borderId="17" xfId="1" applyFill="1" applyBorder="1" applyAlignment="1">
      <alignment horizontal="left" vertical="center" shrinkToFit="1"/>
    </xf>
    <xf numFmtId="165" fontId="7" fillId="28" borderId="13" xfId="1" applyNumberFormat="1" applyFont="1" applyFill="1" applyBorder="1" applyAlignment="1">
      <alignment horizontal="center"/>
    </xf>
    <xf numFmtId="165" fontId="7" fillId="28" borderId="14" xfId="1" applyNumberFormat="1" applyFont="1" applyFill="1" applyBorder="1" applyAlignment="1">
      <alignment horizontal="center"/>
    </xf>
    <xf numFmtId="0" fontId="4" fillId="24" borderId="21" xfId="1" applyFont="1" applyFill="1" applyBorder="1" applyAlignment="1">
      <alignment horizontal="left" vertical="center" shrinkToFit="1"/>
    </xf>
    <xf numFmtId="0" fontId="5" fillId="24" borderId="1" xfId="1" applyFill="1" applyBorder="1" applyAlignment="1">
      <alignment horizontal="left" vertical="center" shrinkToFit="1"/>
    </xf>
    <xf numFmtId="0" fontId="6" fillId="25" borderId="2" xfId="1" applyFont="1" applyFill="1" applyBorder="1" applyAlignment="1">
      <alignment horizontal="center" vertical="center" shrinkToFit="1"/>
    </xf>
    <xf numFmtId="0" fontId="6" fillId="25" borderId="4" xfId="1" applyFont="1" applyFill="1" applyBorder="1" applyAlignment="1">
      <alignment horizontal="center" vertical="center" shrinkToFit="1"/>
    </xf>
    <xf numFmtId="0" fontId="6" fillId="25" borderId="6" xfId="1" applyFont="1" applyFill="1" applyBorder="1" applyAlignment="1">
      <alignment horizontal="center" vertical="center" shrinkToFit="1"/>
    </xf>
    <xf numFmtId="0" fontId="6" fillId="25" borderId="12" xfId="1" applyFont="1" applyFill="1" applyBorder="1" applyAlignment="1">
      <alignment horizontal="center" vertical="center" shrinkToFit="1"/>
    </xf>
    <xf numFmtId="2" fontId="5" fillId="25" borderId="2" xfId="1" applyNumberFormat="1" applyFill="1" applyBorder="1" applyAlignment="1">
      <alignment horizontal="center" vertical="center"/>
    </xf>
    <xf numFmtId="2" fontId="5" fillId="25" borderId="16" xfId="1" applyNumberFormat="1" applyFill="1" applyBorder="1" applyAlignment="1">
      <alignment horizontal="center" vertical="center"/>
    </xf>
    <xf numFmtId="2" fontId="5" fillId="25" borderId="5" xfId="1" applyNumberFormat="1" applyFill="1" applyBorder="1" applyAlignment="1">
      <alignment horizontal="center" vertical="center"/>
    </xf>
    <xf numFmtId="2" fontId="5" fillId="25" borderId="18" xfId="1" applyNumberFormat="1" applyFill="1" applyBorder="1" applyAlignment="1">
      <alignment horizontal="center" vertical="center"/>
    </xf>
    <xf numFmtId="2" fontId="7" fillId="32" borderId="21" xfId="1" applyNumberFormat="1" applyFont="1" applyFill="1" applyBorder="1" applyAlignment="1">
      <alignment shrinkToFit="1"/>
    </xf>
    <xf numFmtId="0" fontId="5" fillId="26" borderId="6" xfId="1" applyFill="1" applyBorder="1"/>
    <xf numFmtId="0" fontId="5" fillId="26" borderId="20" xfId="1" applyFill="1" applyBorder="1"/>
    <xf numFmtId="0" fontId="5" fillId="27" borderId="20" xfId="1" applyFill="1" applyBorder="1" applyAlignment="1">
      <alignment horizontal="left" vertical="center" shrinkToFit="1"/>
    </xf>
    <xf numFmtId="0" fontId="5" fillId="27" borderId="6" xfId="1" applyFill="1" applyBorder="1" applyAlignment="1">
      <alignment horizontal="left" vertical="center" shrinkToFit="1"/>
    </xf>
    <xf numFmtId="2" fontId="2" fillId="0" borderId="20" xfId="1" applyNumberFormat="1" applyFont="1" applyBorder="1" applyAlignment="1">
      <alignment horizontal="center" vertical="center"/>
    </xf>
    <xf numFmtId="2" fontId="2" fillId="0" borderId="6" xfId="1" applyNumberFormat="1" applyFont="1" applyBorder="1" applyAlignment="1">
      <alignment horizontal="center" vertical="center"/>
    </xf>
    <xf numFmtId="2" fontId="5" fillId="0" borderId="6" xfId="1" applyNumberFormat="1" applyBorder="1" applyAlignment="1">
      <alignment horizontal="center" vertical="center"/>
    </xf>
    <xf numFmtId="2" fontId="7" fillId="29" borderId="18" xfId="1" applyNumberFormat="1" applyFont="1" applyFill="1" applyBorder="1" applyAlignment="1">
      <alignment shrinkToFit="1"/>
    </xf>
    <xf numFmtId="2" fontId="7" fillId="29" borderId="19" xfId="1" applyNumberFormat="1" applyFont="1" applyFill="1" applyBorder="1" applyAlignment="1">
      <alignment shrinkToFit="1"/>
    </xf>
    <xf numFmtId="2" fontId="7" fillId="29" borderId="0" xfId="1" applyNumberFormat="1" applyFont="1" applyFill="1" applyBorder="1" applyAlignment="1">
      <alignment shrinkToFit="1"/>
    </xf>
    <xf numFmtId="0" fontId="1" fillId="7" borderId="23" xfId="1" applyFont="1" applyFill="1" applyBorder="1" applyAlignment="1">
      <alignment horizontal="left" vertical="center" shrinkToFit="1"/>
    </xf>
    <xf numFmtId="0" fontId="1" fillId="0" borderId="1" xfId="1" applyFont="1" applyBorder="1" applyAlignment="1">
      <alignment horizontal="center" vertical="center" textRotation="180" wrapText="1"/>
    </xf>
  </cellXfs>
  <cellStyles count="2">
    <cellStyle name="Normal 2" xfId="1" xr:uid="{7CD6BDC0-67FE-DA4E-AB78-48253C83123C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AB49-EFBA-744B-9D7C-EF6E733C6530}">
  <sheetPr>
    <tabColor rgb="FFC00000"/>
    <pageSetUpPr fitToPage="1"/>
  </sheetPr>
  <dimension ref="A1:BC97"/>
  <sheetViews>
    <sheetView tabSelected="1" zoomScale="26" zoomScaleNormal="50" workbookViewId="0">
      <selection sqref="A1:BC98"/>
    </sheetView>
  </sheetViews>
  <sheetFormatPr baseColWidth="10" defaultColWidth="11.5" defaultRowHeight="14.4" x14ac:dyDescent="0.55000000000000004"/>
  <cols>
    <col min="1" max="1" width="11.5" style="2"/>
    <col min="2" max="2" width="55.44921875" style="2" customWidth="1"/>
    <col min="3" max="3" width="7.5" style="51" customWidth="1"/>
    <col min="4" max="4" width="7.5" style="52" customWidth="1"/>
    <col min="5" max="5" width="7.5" style="57" customWidth="1"/>
    <col min="6" max="54" width="3.34765625" style="2" customWidth="1"/>
    <col min="55" max="16384" width="11.5" style="2"/>
  </cols>
  <sheetData>
    <row r="1" spans="1:54" ht="15.75" customHeight="1" x14ac:dyDescent="0.55000000000000004">
      <c r="A1" s="288" t="s">
        <v>65</v>
      </c>
      <c r="B1" s="1" t="s">
        <v>0</v>
      </c>
      <c r="C1" s="79" t="s">
        <v>1</v>
      </c>
      <c r="D1" s="80"/>
      <c r="E1" s="81"/>
      <c r="F1" s="85">
        <v>1</v>
      </c>
      <c r="G1" s="86"/>
      <c r="H1" s="86"/>
      <c r="I1" s="86"/>
      <c r="J1" s="87"/>
      <c r="K1" s="85">
        <v>2</v>
      </c>
      <c r="L1" s="86"/>
      <c r="M1" s="86"/>
      <c r="N1" s="86"/>
      <c r="O1" s="87"/>
      <c r="P1" s="85">
        <v>3</v>
      </c>
      <c r="Q1" s="86"/>
      <c r="R1" s="86"/>
      <c r="S1" s="86"/>
      <c r="T1" s="87"/>
      <c r="U1" s="85">
        <v>4</v>
      </c>
      <c r="V1" s="86"/>
      <c r="W1" s="86"/>
      <c r="X1" s="86"/>
      <c r="Y1" s="87"/>
      <c r="Z1" s="85">
        <v>5</v>
      </c>
      <c r="AA1" s="86"/>
      <c r="AB1" s="86"/>
      <c r="AC1" s="86"/>
      <c r="AD1" s="87"/>
      <c r="AE1" s="85">
        <v>6</v>
      </c>
      <c r="AF1" s="86"/>
      <c r="AG1" s="86"/>
      <c r="AH1" s="86"/>
      <c r="AI1" s="87"/>
      <c r="AJ1" s="85">
        <v>7</v>
      </c>
      <c r="AK1" s="86"/>
      <c r="AL1" s="86"/>
      <c r="AM1" s="86"/>
      <c r="AN1" s="87"/>
      <c r="AO1" s="85">
        <v>8</v>
      </c>
      <c r="AP1" s="86"/>
      <c r="AQ1" s="86"/>
      <c r="AR1" s="86"/>
      <c r="AS1" s="87"/>
      <c r="AT1" s="85">
        <v>9</v>
      </c>
      <c r="AU1" s="86"/>
      <c r="AV1" s="85">
        <v>10</v>
      </c>
      <c r="AW1" s="86"/>
      <c r="AX1" s="86"/>
      <c r="AY1" s="86"/>
      <c r="AZ1" s="87"/>
      <c r="BA1" s="85">
        <v>11</v>
      </c>
      <c r="BB1" s="86"/>
    </row>
    <row r="2" spans="1:54" ht="15" customHeight="1" thickBot="1" x14ac:dyDescent="0.6">
      <c r="A2" s="107"/>
      <c r="B2" s="3" t="s">
        <v>2</v>
      </c>
      <c r="C2" s="82"/>
      <c r="D2" s="83"/>
      <c r="E2" s="84"/>
      <c r="F2" s="91">
        <v>46134</v>
      </c>
      <c r="G2" s="92"/>
      <c r="H2" s="92"/>
      <c r="I2" s="92"/>
      <c r="J2" s="93"/>
      <c r="K2" s="91">
        <v>46135</v>
      </c>
      <c r="L2" s="92"/>
      <c r="M2" s="92"/>
      <c r="N2" s="92"/>
      <c r="O2" s="93"/>
      <c r="P2" s="88">
        <v>46136</v>
      </c>
      <c r="Q2" s="89"/>
      <c r="R2" s="89"/>
      <c r="S2" s="89"/>
      <c r="T2" s="90"/>
      <c r="U2" s="91">
        <v>46139</v>
      </c>
      <c r="V2" s="92"/>
      <c r="W2" s="92"/>
      <c r="X2" s="92"/>
      <c r="Y2" s="93"/>
      <c r="Z2" s="91">
        <v>46140</v>
      </c>
      <c r="AA2" s="92"/>
      <c r="AB2" s="92"/>
      <c r="AC2" s="92"/>
      <c r="AD2" s="93"/>
      <c r="AE2" s="91">
        <v>46141</v>
      </c>
      <c r="AF2" s="92"/>
      <c r="AG2" s="92"/>
      <c r="AH2" s="92"/>
      <c r="AI2" s="93"/>
      <c r="AJ2" s="91">
        <v>46142</v>
      </c>
      <c r="AK2" s="92"/>
      <c r="AL2" s="92"/>
      <c r="AM2" s="92"/>
      <c r="AN2" s="93"/>
      <c r="AO2" s="91">
        <v>46146</v>
      </c>
      <c r="AP2" s="92"/>
      <c r="AQ2" s="92"/>
      <c r="AR2" s="92"/>
      <c r="AS2" s="93"/>
      <c r="AT2" s="91">
        <v>46147</v>
      </c>
      <c r="AU2" s="92"/>
      <c r="AV2" s="91">
        <v>46148</v>
      </c>
      <c r="AW2" s="92"/>
      <c r="AX2" s="92"/>
      <c r="AY2" s="92"/>
      <c r="AZ2" s="93"/>
      <c r="BA2" s="91">
        <v>46180</v>
      </c>
      <c r="BB2" s="92"/>
    </row>
    <row r="3" spans="1:54" ht="83.05" customHeight="1" thickBot="1" x14ac:dyDescent="0.6">
      <c r="A3" s="107"/>
      <c r="B3" s="4" t="s">
        <v>3</v>
      </c>
      <c r="C3" s="5" t="s">
        <v>4</v>
      </c>
      <c r="D3" s="5" t="s">
        <v>5</v>
      </c>
      <c r="E3" s="5" t="s">
        <v>6</v>
      </c>
      <c r="F3" s="59" t="s">
        <v>27</v>
      </c>
      <c r="G3" s="60" t="s">
        <v>28</v>
      </c>
      <c r="H3" s="61" t="s">
        <v>29</v>
      </c>
      <c r="I3" s="60" t="s">
        <v>30</v>
      </c>
      <c r="J3" s="6" t="s">
        <v>9</v>
      </c>
      <c r="K3" s="59" t="s">
        <v>27</v>
      </c>
      <c r="L3" s="60" t="s">
        <v>28</v>
      </c>
      <c r="M3" s="61" t="s">
        <v>29</v>
      </c>
      <c r="N3" s="60" t="s">
        <v>30</v>
      </c>
      <c r="O3" s="6" t="s">
        <v>9</v>
      </c>
      <c r="P3" s="59" t="s">
        <v>27</v>
      </c>
      <c r="Q3" s="60" t="s">
        <v>28</v>
      </c>
      <c r="R3" s="61" t="s">
        <v>29</v>
      </c>
      <c r="S3" s="60" t="s">
        <v>30</v>
      </c>
      <c r="T3" s="6" t="s">
        <v>9</v>
      </c>
      <c r="U3" s="59" t="s">
        <v>27</v>
      </c>
      <c r="V3" s="60" t="s">
        <v>28</v>
      </c>
      <c r="W3" s="61" t="s">
        <v>29</v>
      </c>
      <c r="X3" s="60" t="s">
        <v>30</v>
      </c>
      <c r="Y3" s="6" t="s">
        <v>9</v>
      </c>
      <c r="Z3" s="59" t="s">
        <v>27</v>
      </c>
      <c r="AA3" s="60" t="s">
        <v>28</v>
      </c>
      <c r="AB3" s="61" t="s">
        <v>29</v>
      </c>
      <c r="AC3" s="60" t="s">
        <v>30</v>
      </c>
      <c r="AD3" s="6" t="s">
        <v>9</v>
      </c>
      <c r="AE3" s="59" t="s">
        <v>27</v>
      </c>
      <c r="AF3" s="60" t="s">
        <v>28</v>
      </c>
      <c r="AG3" s="61" t="s">
        <v>29</v>
      </c>
      <c r="AH3" s="60" t="s">
        <v>30</v>
      </c>
      <c r="AI3" s="6" t="s">
        <v>9</v>
      </c>
      <c r="AJ3" s="59" t="s">
        <v>27</v>
      </c>
      <c r="AK3" s="60" t="s">
        <v>28</v>
      </c>
      <c r="AL3" s="61" t="s">
        <v>29</v>
      </c>
      <c r="AM3" s="60" t="s">
        <v>30</v>
      </c>
      <c r="AN3" s="6" t="s">
        <v>9</v>
      </c>
      <c r="AO3" s="59" t="s">
        <v>27</v>
      </c>
      <c r="AP3" s="60" t="s">
        <v>28</v>
      </c>
      <c r="AQ3" s="61" t="s">
        <v>29</v>
      </c>
      <c r="AR3" s="60" t="s">
        <v>30</v>
      </c>
      <c r="AS3" s="6" t="s">
        <v>9</v>
      </c>
      <c r="AT3" s="59" t="s">
        <v>7</v>
      </c>
      <c r="AU3" s="60" t="s">
        <v>8</v>
      </c>
      <c r="AV3" s="59" t="s">
        <v>27</v>
      </c>
      <c r="AW3" s="60" t="s">
        <v>28</v>
      </c>
      <c r="AX3" s="61" t="s">
        <v>29</v>
      </c>
      <c r="AY3" s="60" t="s">
        <v>30</v>
      </c>
      <c r="AZ3" s="6" t="s">
        <v>9</v>
      </c>
      <c r="BA3" s="59" t="s">
        <v>27</v>
      </c>
      <c r="BB3" s="60" t="s">
        <v>28</v>
      </c>
    </row>
    <row r="4" spans="1:54" ht="25" customHeight="1" thickBot="1" x14ac:dyDescent="0.6">
      <c r="A4" s="108"/>
      <c r="B4" s="7" t="s">
        <v>10</v>
      </c>
      <c r="C4" s="5"/>
      <c r="D4" s="5"/>
      <c r="E4" s="8"/>
      <c r="F4" s="9" cm="1">
        <f t="array" ref="F4">_xlfn.LET(_xlpm.r, F7:F90,SUM( _xlfn._xlws.FILTER( _xlpm.r, MOD(ROW(_xlpm.r) - ROW(INDEX(_xlpm.r,1,1)) + 1, 2) = 0 ) ))</f>
        <v>2</v>
      </c>
      <c r="G4" s="10" cm="1">
        <f t="array" ref="G4">_xlfn.LET(_xlpm.r, G7:G90,SUM( _xlfn._xlws.FILTER( _xlpm.r, MOD(ROW(_xlpm.r) - ROW(INDEX(_xlpm.r,1,1)) + 1, 2) = 0 ) ))</f>
        <v>2</v>
      </c>
      <c r="H4" s="10" cm="1">
        <f t="array" ref="H4">_xlfn.LET(_xlpm.r, H7:H90,SUM( _xlfn._xlws.FILTER( _xlpm.r, MOD(ROW(_xlpm.r) - ROW(INDEX(_xlpm.r,1,1)) + 1, 2) = 0 ) ))</f>
        <v>2</v>
      </c>
      <c r="I4" s="10" cm="1">
        <f t="array" ref="I4">_xlfn.LET(_xlpm.r, I7:I90,SUM( _xlfn._xlws.FILTER( _xlpm.r, MOD(ROW(_xlpm.r) - ROW(INDEX(_xlpm.r,1,1)) + 1, 2) = 0 ) ))</f>
        <v>2</v>
      </c>
      <c r="J4" s="11" cm="1">
        <f t="array" ref="J4">_xlfn.LET(_xlpm.r, J7:J90,SUM( _xlfn._xlws.FILTER( _xlpm.r, MOD(ROW(_xlpm.r) - ROW(INDEX(_xlpm.r,1,1)) + 1, 2) = 0 ) ))</f>
        <v>0</v>
      </c>
      <c r="K4" s="9" cm="1">
        <f t="array" ref="K4">_xlfn.LET(_xlpm.r, K7:K90,SUM( _xlfn._xlws.FILTER( _xlpm.r, MOD(ROW(_xlpm.r) - ROW(INDEX(_xlpm.r,1,1)) + 1, 2) = 0 ) ))</f>
        <v>1.3</v>
      </c>
      <c r="L4" s="10" cm="1">
        <f t="array" ref="L4">_xlfn.LET(_xlpm.r, L7:L90,SUM( _xlfn._xlws.FILTER( _xlpm.r, MOD(ROW(_xlpm.r) - ROW(INDEX(_xlpm.r,1,1)) + 1, 2) = 0 ) ))</f>
        <v>1.2</v>
      </c>
      <c r="M4" s="10" cm="1">
        <f t="array" ref="M4">_xlfn.LET(_xlpm.r, M7:M92,SUM( _xlfn._xlws.FILTER( _xlpm.r, MOD(ROW(_xlpm.r) - ROW(INDEX(_xlpm.r,1,1)) + 1, 2) = 0 ) ))</f>
        <v>0</v>
      </c>
      <c r="N4" s="10" cm="1">
        <f t="array" ref="N4">_xlfn.LET(_xlpm.r, N7:N90,SUM( _xlfn._xlws.FILTER( _xlpm.r, MOD(ROW(_xlpm.r) - ROW(INDEX(_xlpm.r,1,1)) + 1, 2) = 0 ) ))</f>
        <v>0</v>
      </c>
      <c r="O4" s="11" cm="1">
        <f t="array" ref="O4">_xlfn.LET(_xlpm.r, O7:O90,SUM( _xlfn._xlws.FILTER( _xlpm.r, MOD(ROW(_xlpm.r) - ROW(INDEX(_xlpm.r,1,1)) + 1, 2) = 0 ) ))</f>
        <v>0</v>
      </c>
      <c r="P4" s="9" cm="1">
        <f t="array" ref="P4">_xlfn.LET(_xlpm.r, P7:P90,SUM( _xlfn._xlws.FILTER( _xlpm.r, MOD(ROW(_xlpm.r) - ROW(INDEX(_xlpm.r,1,1)) + 1, 2) = 0 ) ))</f>
        <v>0</v>
      </c>
      <c r="Q4" s="10" cm="1">
        <f t="array" ref="Q4">_xlfn.LET(_xlpm.r, Q7:Q90,SUM( _xlfn._xlws.FILTER( _xlpm.r, MOD(ROW(_xlpm.r) - ROW(INDEX(_xlpm.r,1,1)) + 1, 2) = 0 ) ))</f>
        <v>0</v>
      </c>
      <c r="R4" s="10" cm="1">
        <f t="array" ref="R4">_xlfn.LET(_xlpm.r, R7:R90,SUM( _xlfn._xlws.FILTER( _xlpm.r, MOD(ROW(_xlpm.r) - ROW(INDEX(_xlpm.r,1,1)) + 1, 2) = 0 ) ))</f>
        <v>0</v>
      </c>
      <c r="S4" s="10" cm="1">
        <f t="array" ref="S4">_xlfn.LET(_xlpm.r, S7:S90,SUM( _xlfn._xlws.FILTER( _xlpm.r, MOD(ROW(_xlpm.r) - ROW(INDEX(_xlpm.r,1,1)) + 1, 2) = 0 ) ))</f>
        <v>0</v>
      </c>
      <c r="T4" s="11" cm="1">
        <f t="array" ref="T4">_xlfn.LET(_xlpm.r, T7:T90,SUM( _xlfn._xlws.FILTER( _xlpm.r, MOD(ROW(_xlpm.r) - ROW(INDEX(_xlpm.r,1,1)) + 1, 2) = 0 ) ))</f>
        <v>0</v>
      </c>
      <c r="U4" s="9" cm="1">
        <f t="array" ref="U4">_xlfn.LET(_xlpm.r, U7:U90,SUM( _xlfn._xlws.FILTER( _xlpm.r, MOD(ROW(_xlpm.r) - ROW(INDEX(_xlpm.r,1,1)) + 1, 2) = 0 ) ))</f>
        <v>0</v>
      </c>
      <c r="V4" s="10" cm="1">
        <f t="array" ref="V4">_xlfn.LET(_xlpm.r, V7:V90,SUM( _xlfn._xlws.FILTER( _xlpm.r, MOD(ROW(_xlpm.r) - ROW(INDEX(_xlpm.r,1,1)) + 1, 2) = 0 ) ))</f>
        <v>0</v>
      </c>
      <c r="W4" s="10" cm="1">
        <f t="array" ref="W4">_xlfn.LET(_xlpm.r, W7:W90,SUM( _xlfn._xlws.FILTER( _xlpm.r, MOD(ROW(_xlpm.r) - ROW(INDEX(_xlpm.r,1,1)) + 1, 2) = 0 ) ))</f>
        <v>0</v>
      </c>
      <c r="X4" s="10" cm="1">
        <f t="array" ref="X4">_xlfn.LET(_xlpm.r, X7:X90,SUM( _xlfn._xlws.FILTER( _xlpm.r, MOD(ROW(_xlpm.r) - ROW(INDEX(_xlpm.r,1,1)) + 1, 2) = 0 ) ))</f>
        <v>0</v>
      </c>
      <c r="Y4" s="11" cm="1">
        <f t="array" ref="Y4">_xlfn.LET(_xlpm.r, Y7:Y90,SUM( _xlfn._xlws.FILTER( _xlpm.r, MOD(ROW(_xlpm.r) - ROW(INDEX(_xlpm.r,1,1)) + 1, 2) = 0 ) ))</f>
        <v>0</v>
      </c>
      <c r="Z4" s="9" cm="1">
        <f t="array" ref="Z4">_xlfn.LET(_xlpm.r, Z7:Z90,SUM( _xlfn._xlws.FILTER( _xlpm.r, MOD(ROW(_xlpm.r) - ROW(INDEX(_xlpm.r,1,1)) + 1, 2) = 0 ) ))</f>
        <v>0</v>
      </c>
      <c r="AA4" s="10" cm="1">
        <f t="array" ref="AA4">_xlfn.LET(_xlpm.r, AA7:AA90,SUM( _xlfn._xlws.FILTER( _xlpm.r, MOD(ROW(_xlpm.r) - ROW(INDEX(_xlpm.r,1,1)) + 1, 2) = 0 ) ))</f>
        <v>0</v>
      </c>
      <c r="AB4" s="10" cm="1">
        <f t="array" ref="AB4">_xlfn.LET(_xlpm.r, AB7:AB90,SUM( _xlfn._xlws.FILTER( _xlpm.r, MOD(ROW(_xlpm.r) - ROW(INDEX(_xlpm.r,1,1)) + 1, 2) = 0 ) ))</f>
        <v>0</v>
      </c>
      <c r="AC4" s="10" cm="1">
        <f t="array" ref="AC4">_xlfn.LET(_xlpm.r, AC7:AC90,SUM( _xlfn._xlws.FILTER( _xlpm.r, MOD(ROW(_xlpm.r) - ROW(INDEX(_xlpm.r,1,1)) + 1, 2) = 0 ) ))</f>
        <v>0</v>
      </c>
      <c r="AD4" s="11" cm="1">
        <f t="array" ref="AD4">_xlfn.LET(_xlpm.r, AD7:AD90,SUM( _xlfn._xlws.FILTER( _xlpm.r, MOD(ROW(_xlpm.r) - ROW(INDEX(_xlpm.r,1,1)) + 1, 2) = 0 ) ))</f>
        <v>0</v>
      </c>
      <c r="AE4" s="9" cm="1">
        <f t="array" ref="AE4">_xlfn.LET(_xlpm.r, AE7:AE90,SUM( _xlfn._xlws.FILTER( _xlpm.r, MOD(ROW(_xlpm.r) - ROW(INDEX(_xlpm.r,1,1)) + 1, 2) = 0 ) ))</f>
        <v>0</v>
      </c>
      <c r="AF4" s="10" cm="1">
        <f t="array" ref="AF4">_xlfn.LET(_xlpm.r, AF7:AF90,SUM( _xlfn._xlws.FILTER( _xlpm.r, MOD(ROW(_xlpm.r) - ROW(INDEX(_xlpm.r,1,1)) + 1, 2) = 0 ) ))</f>
        <v>0</v>
      </c>
      <c r="AG4" s="10" cm="1">
        <f t="array" ref="AG4">_xlfn.LET(_xlpm.r, AG7:AG90,SUM( _xlfn._xlws.FILTER( _xlpm.r, MOD(ROW(_xlpm.r) - ROW(INDEX(_xlpm.r,1,1)) + 1, 2) = 0 ) ))</f>
        <v>0</v>
      </c>
      <c r="AH4" s="10" cm="1">
        <f t="array" ref="AH4">_xlfn.LET(_xlpm.r, AH7:AH90,SUM( _xlfn._xlws.FILTER( _xlpm.r, MOD(ROW(_xlpm.r) - ROW(INDEX(_xlpm.r,1,1)) + 1, 2) = 0 ) ))</f>
        <v>0</v>
      </c>
      <c r="AI4" s="11" cm="1">
        <f t="array" ref="AI4">_xlfn.LET(_xlpm.r, AI7:AI90,SUM( _xlfn._xlws.FILTER( _xlpm.r, MOD(ROW(_xlpm.r) - ROW(INDEX(_xlpm.r,1,1)) + 1, 2) = 0 ) ))</f>
        <v>0</v>
      </c>
      <c r="AJ4" s="9" cm="1">
        <f t="array" ref="AJ4">_xlfn.LET(_xlpm.r, AJ7:AJ90,SUM( _xlfn._xlws.FILTER( _xlpm.r, MOD(ROW(_xlpm.r) - ROW(INDEX(_xlpm.r,1,1)) + 1, 2) = 0 ) ))</f>
        <v>0</v>
      </c>
      <c r="AK4" s="10" cm="1">
        <f t="array" ref="AK4">_xlfn.LET(_xlpm.r, AK7:AK90,SUM( _xlfn._xlws.FILTER( _xlpm.r, MOD(ROW(_xlpm.r) - ROW(INDEX(_xlpm.r,1,1)) + 1, 2) = 0 ) ))</f>
        <v>0</v>
      </c>
      <c r="AL4" s="10" cm="1">
        <f t="array" ref="AL4">_xlfn.LET(_xlpm.r, AL7:AL90,SUM( _xlfn._xlws.FILTER( _xlpm.r, MOD(ROW(_xlpm.r) - ROW(INDEX(_xlpm.r,1,1)) + 1, 2) = 0 ) ))</f>
        <v>0</v>
      </c>
      <c r="AM4" s="10" cm="1">
        <f t="array" ref="AM4">_xlfn.LET(_xlpm.r, AM7:AM90,SUM( _xlfn._xlws.FILTER( _xlpm.r, MOD(ROW(_xlpm.r) - ROW(INDEX(_xlpm.r,1,1)) + 1, 2) = 0 ) ))</f>
        <v>0</v>
      </c>
      <c r="AN4" s="11" cm="1">
        <f t="array" ref="AN4">_xlfn.LET(_xlpm.r, AN7:AN90,SUM( _xlfn._xlws.FILTER( _xlpm.r, MOD(ROW(_xlpm.r) - ROW(INDEX(_xlpm.r,1,1)) + 1, 2) = 0 ) ))</f>
        <v>0</v>
      </c>
      <c r="AO4" s="9" cm="1">
        <f t="array" ref="AO4">_xlfn.LET(_xlpm.r, AO7:AO90,SUM( _xlfn._xlws.FILTER( _xlpm.r, MOD(ROW(_xlpm.r) - ROW(INDEX(_xlpm.r,1,1)) + 1, 2) = 0 ) ))</f>
        <v>0</v>
      </c>
      <c r="AP4" s="10" cm="1">
        <f t="array" ref="AP4">_xlfn.LET(_xlpm.r, AP7:AP90,SUM( _xlfn._xlws.FILTER( _xlpm.r, MOD(ROW(_xlpm.r) - ROW(INDEX(_xlpm.r,1,1)) + 1, 2) = 0 ) ))</f>
        <v>0</v>
      </c>
      <c r="AQ4" s="10" cm="1">
        <f t="array" ref="AQ4">_xlfn.LET(_xlpm.r, AQ7:AQ90,SUM( _xlfn._xlws.FILTER( _xlpm.r, MOD(ROW(_xlpm.r) - ROW(INDEX(_xlpm.r,1,1)) + 1, 2) = 0 ) ))</f>
        <v>0</v>
      </c>
      <c r="AR4" s="10" cm="1">
        <f t="array" ref="AR4">_xlfn.LET(_xlpm.r, AR7:AR90,SUM( _xlfn._xlws.FILTER( _xlpm.r, MOD(ROW(_xlpm.r) - ROW(INDEX(_xlpm.r,1,1)) + 1, 2) = 0 ) ))</f>
        <v>0</v>
      </c>
      <c r="AS4" s="11" cm="1">
        <f t="array" ref="AS4">_xlfn.LET(_xlpm.r, AS7:AS90,SUM( _xlfn._xlws.FILTER( _xlpm.r, MOD(ROW(_xlpm.r) - ROW(INDEX(_xlpm.r,1,1)) + 1, 2) = 0 ) ))</f>
        <v>0</v>
      </c>
      <c r="AT4" s="9" cm="1">
        <f t="array" ref="AT4">_xlfn.LET(_xlpm.r, AT7:AT90,SUM( _xlfn._xlws.FILTER( _xlpm.r, MOD(ROW(_xlpm.r) - ROW(INDEX(_xlpm.r,1,1)) + 1, 2) = 0 ) ))</f>
        <v>0</v>
      </c>
      <c r="AU4" s="10" cm="1">
        <f t="array" ref="AU4">_xlfn.LET(_xlpm.r, AU7:AU90,SUM( _xlfn._xlws.FILTER( _xlpm.r, MOD(ROW(_xlpm.r) - ROW(INDEX(_xlpm.r,1,1)) + 1, 2) = 0 ) ))</f>
        <v>0</v>
      </c>
      <c r="AV4" s="9" cm="1">
        <f t="array" ref="AV4">_xlfn.LET(_xlpm.r, AV7:AV90,SUM( _xlfn._xlws.FILTER( _xlpm.r, MOD(ROW(_xlpm.r) - ROW(INDEX(_xlpm.r,1,1)) + 1, 2) = 0 ) ))</f>
        <v>0</v>
      </c>
      <c r="AW4" s="10" cm="1">
        <f t="array" ref="AW4">_xlfn.LET(_xlpm.r, AW7:AW90,SUM( _xlfn._xlws.FILTER( _xlpm.r, MOD(ROW(_xlpm.r) - ROW(INDEX(_xlpm.r,1,1)) + 1, 2) = 0 ) ))</f>
        <v>0</v>
      </c>
      <c r="AX4" s="10" cm="1">
        <f t="array" ref="AX4">_xlfn.LET(_xlpm.r, AX7:AX90,SUM( _xlfn._xlws.FILTER( _xlpm.r, MOD(ROW(_xlpm.r) - ROW(INDEX(_xlpm.r,1,1)) + 1, 2) = 0 ) ))</f>
        <v>0</v>
      </c>
      <c r="AY4" s="10" cm="1">
        <f t="array" ref="AY4">_xlfn.LET(_xlpm.r, AY7:AY90,SUM( _xlfn._xlws.FILTER( _xlpm.r, MOD(ROW(_xlpm.r) - ROW(INDEX(_xlpm.r,1,1)) + 1, 2) = 0 ) ))</f>
        <v>0</v>
      </c>
      <c r="AZ4" s="11" cm="1">
        <f t="array" ref="AZ4">_xlfn.LET(_xlpm.r, AZ7:AZ90,SUM( _xlfn._xlws.FILTER( _xlpm.r, MOD(ROW(_xlpm.r) - ROW(INDEX(_xlpm.r,1,1)) + 1, 2) = 0 ) ))</f>
        <v>0</v>
      </c>
      <c r="BA4" s="9" cm="1">
        <f t="array" ref="BA4">_xlfn.LET(_xlpm.r, BA7:BA90,SUM( _xlfn._xlws.FILTER( _xlpm.r, MOD(ROW(_xlpm.r) - ROW(INDEX(_xlpm.r,1,1)) + 1, 2) = 0 ) ))</f>
        <v>0</v>
      </c>
      <c r="BB4" s="10" cm="1">
        <f t="array" ref="BB4">_xlfn.LET(_xlpm.r, BB7:BB90,SUM( _xlfn._xlws.FILTER( _xlpm.r, MOD(ROW(_xlpm.r) - ROW(INDEX(_xlpm.r,1,1)) + 1, 2) = 0 ) ))</f>
        <v>0</v>
      </c>
    </row>
    <row r="5" spans="1:54" ht="25" customHeight="1" thickBot="1" x14ac:dyDescent="0.6">
      <c r="A5" s="12" t="s">
        <v>11</v>
      </c>
      <c r="B5" s="69" t="s">
        <v>12</v>
      </c>
      <c r="C5" s="13"/>
      <c r="D5" s="13"/>
      <c r="E5" s="14"/>
      <c r="F5" s="15" cm="1">
        <f t="array" ref="F5">_xlfn.LET(_xlpm.r, F7:F90,SUM( _xlfn._xlws.FILTER( _xlpm.r, MOD(ROW(_xlpm.r) - ROW(INDEX(_xlpm.r,1,1)) + 1, 2) = 1) ))</f>
        <v>2</v>
      </c>
      <c r="G5" s="16" cm="1">
        <f t="array" ref="G5">_xlfn.LET(_xlpm.r, G7:G90,SUM( _xlfn._xlws.FILTER( _xlpm.r, MOD(ROW(_xlpm.r) - ROW(INDEX(_xlpm.r,1,1)) + 1, 2) = 1 ) ))</f>
        <v>2</v>
      </c>
      <c r="H5" s="16" cm="1">
        <f t="array" ref="H5">_xlfn.LET(_xlpm.r, H7:H90,SUM( _xlfn._xlws.FILTER( _xlpm.r, MOD(ROW(_xlpm.r) - ROW(INDEX(_xlpm.r,1,1)) + 1, 2) = 1 ) ))</f>
        <v>2</v>
      </c>
      <c r="I5" s="16" cm="1">
        <f t="array" ref="I5">_xlfn.LET(_xlpm.r, I7:I90,SUM( _xlfn._xlws.FILTER( _xlpm.r, MOD(ROW(_xlpm.r) - ROW(INDEX(_xlpm.r,1,1)) + 1, 2) = 1 ) ))</f>
        <v>2</v>
      </c>
      <c r="J5" s="17" cm="1">
        <f t="array" ref="J5">_xlfn.LET(_xlpm.r, J7:J90,SUM( _xlfn._xlws.FILTER( _xlpm.r, MOD(ROW(_xlpm.r) - ROW(INDEX(_xlpm.r,1,1)) + 1, 2) = 1 ) ))</f>
        <v>0</v>
      </c>
      <c r="K5" s="18" cm="1">
        <f t="array" ref="K5">_xlfn.LET(_xlpm.r, K7:K90,SUM( _xlfn._xlws.FILTER( _xlpm.r, MOD(ROW(_xlpm.r) - ROW(INDEX(_xlpm.r,1,1)) + 1, 2) = 1 ) ))</f>
        <v>2</v>
      </c>
      <c r="L5" s="19" cm="1">
        <f t="array" ref="L5">_xlfn.LET(_xlpm.r, L7:L90,SUM( _xlfn._xlws.FILTER( _xlpm.r, MOD(ROW(_xlpm.r) - ROW(INDEX(_xlpm.r,1,1)) + 1, 2) = 1 ) ))</f>
        <v>2</v>
      </c>
      <c r="M5" s="19" cm="1">
        <f t="array" ref="M5">_xlfn.LET(_xlpm.r, M7:M92,SUM( _xlfn._xlws.FILTER( _xlpm.r, MOD(ROW(_xlpm.r) - ROW(INDEX(_xlpm.r,1,1)) + 1, 2) = 1 ) ))</f>
        <v>2</v>
      </c>
      <c r="N5" s="19" cm="1">
        <f t="array" ref="N5">_xlfn.LET(_xlpm.r, N7:N90,SUM( _xlfn._xlws.FILTER( _xlpm.r, MOD(ROW(_xlpm.r) - ROW(INDEX(_xlpm.r,1,1)) + 1, 2) = 1 ) ))</f>
        <v>2</v>
      </c>
      <c r="O5" s="20" cm="1">
        <f t="array" ref="O5">_xlfn.LET(_xlpm.r, O7:O90,SUM( _xlfn._xlws.FILTER( _xlpm.r, MOD(ROW(_xlpm.r) - ROW(INDEX(_xlpm.r,1,1)) + 1, 2) = 1 ) ))</f>
        <v>0</v>
      </c>
      <c r="P5" s="9" cm="1">
        <f t="array" ref="P5">_xlfn.LET(_xlpm.r, P8:P92,SUM( _xlfn._xlws.FILTER( _xlpm.r, MOD(ROW(_xlpm.r) - ROW(INDEX(_xlpm.r,1,1)) + 1, 2) = 0 ) ))</f>
        <v>2</v>
      </c>
      <c r="Q5" s="10" cm="1">
        <f t="array" ref="Q5">_xlfn.LET(_xlpm.r, Q8:Q92,SUM( _xlfn._xlws.FILTER( _xlpm.r, MOD(ROW(_xlpm.r) - ROW(INDEX(_xlpm.r,1,1)) + 1, 2) = 0 ) ))</f>
        <v>2</v>
      </c>
      <c r="R5" s="10" cm="1">
        <f t="array" ref="R5">_xlfn.LET(_xlpm.r, R8:R92,SUM( _xlfn._xlws.FILTER( _xlpm.r, MOD(ROW(_xlpm.r) - ROW(INDEX(_xlpm.r,1,1)) + 1, 2) = 0 ) ))</f>
        <v>2</v>
      </c>
      <c r="S5" s="10" cm="1">
        <f t="array" ref="S5">_xlfn.LET(_xlpm.r, S8:S92,SUM( _xlfn._xlws.FILTER( _xlpm.r, MOD(ROW(_xlpm.r) - ROW(INDEX(_xlpm.r,1,1)) + 1, 2) = 0 ) ))</f>
        <v>2</v>
      </c>
      <c r="T5" s="11" cm="1">
        <f t="array" ref="T5">_xlfn.LET(_xlpm.r, T8:T92,SUM( _xlfn._xlws.FILTER( _xlpm.r, MOD(ROW(_xlpm.r) - ROW(INDEX(_xlpm.r,1,1)) + 1, 2) = 0 ) ))</f>
        <v>0</v>
      </c>
      <c r="U5" s="18" cm="1">
        <f t="array" ref="U5">_xlfn.LET(_xlpm.r, U7:U90,SUM( _xlfn._xlws.FILTER( _xlpm.r, MOD(ROW(_xlpm.r) - ROW(INDEX(_xlpm.r,1,1)) + 1, 2) = 1 ) ))</f>
        <v>2</v>
      </c>
      <c r="V5" s="19" cm="1">
        <f t="array" ref="V5">_xlfn.LET(_xlpm.r, V7:V90,SUM( _xlfn._xlws.FILTER( _xlpm.r, MOD(ROW(_xlpm.r) - ROW(INDEX(_xlpm.r,1,1)) + 1, 2) = 1 ) ))</f>
        <v>2</v>
      </c>
      <c r="W5" s="19" cm="1">
        <f t="array" ref="W5">_xlfn.LET(_xlpm.r, W7:W90,SUM( _xlfn._xlws.FILTER( _xlpm.r, MOD(ROW(_xlpm.r) - ROW(INDEX(_xlpm.r,1,1)) + 1, 2) = 1 ) ))</f>
        <v>2</v>
      </c>
      <c r="X5" s="19" cm="1">
        <f t="array" ref="X5">_xlfn.LET(_xlpm.r, X7:X90,SUM( _xlfn._xlws.FILTER( _xlpm.r, MOD(ROW(_xlpm.r) - ROW(INDEX(_xlpm.r,1,1)) + 1, 2) = 1 ) ))</f>
        <v>2</v>
      </c>
      <c r="Y5" s="20" cm="1">
        <f t="array" ref="Y5">_xlfn.LET(_xlpm.r, Y7:Y90,SUM( _xlfn._xlws.FILTER( _xlpm.r, MOD(ROW(_xlpm.r) - ROW(INDEX(_xlpm.r,1,1)) + 1, 2) = 1 ) ))</f>
        <v>0</v>
      </c>
      <c r="Z5" s="18" cm="1">
        <f t="array" ref="Z5">_xlfn.LET(_xlpm.r, Z7:Z90,SUM( _xlfn._xlws.FILTER( _xlpm.r, MOD(ROW(_xlpm.r) - ROW(INDEX(_xlpm.r,1,1)) + 1, 2) = 1 ) ))</f>
        <v>2</v>
      </c>
      <c r="AA5" s="19" cm="1">
        <f t="array" ref="AA5">_xlfn.LET(_xlpm.r, AA7:AA90,SUM( _xlfn._xlws.FILTER( _xlpm.r, MOD(ROW(_xlpm.r) - ROW(INDEX(_xlpm.r,1,1)) + 1, 2) = 1 ) ))</f>
        <v>2</v>
      </c>
      <c r="AB5" s="19" cm="1">
        <f t="array" ref="AB5">_xlfn.LET(_xlpm.r, AB7:AB90,SUM( _xlfn._xlws.FILTER( _xlpm.r, MOD(ROW(_xlpm.r) - ROW(INDEX(_xlpm.r,1,1)) + 1, 2) = 1 ) ))</f>
        <v>2</v>
      </c>
      <c r="AC5" s="19" cm="1">
        <f t="array" ref="AC5">_xlfn.LET(_xlpm.r, AC7:AC90,SUM( _xlfn._xlws.FILTER( _xlpm.r, MOD(ROW(_xlpm.r) - ROW(INDEX(_xlpm.r,1,1)) + 1, 2) = 1 ) ))</f>
        <v>2</v>
      </c>
      <c r="AD5" s="20" cm="1">
        <f t="array" ref="AD5">_xlfn.LET(_xlpm.r, AD7:AD90,SUM( _xlfn._xlws.FILTER( _xlpm.r, MOD(ROW(_xlpm.r) - ROW(INDEX(_xlpm.r,1,1)) + 1, 2) = 1 ) ))</f>
        <v>0.5</v>
      </c>
      <c r="AE5" s="18" cm="1">
        <f t="array" ref="AE5">_xlfn.LET(_xlpm.r, AE7:AE90,SUM( _xlfn._xlws.FILTER( _xlpm.r, MOD(ROW(_xlpm.r) - ROW(INDEX(_xlpm.r,1,1)) + 1, 2) = 1 ) ))</f>
        <v>2</v>
      </c>
      <c r="AF5" s="19" cm="1">
        <f t="array" ref="AF5">_xlfn.LET(_xlpm.r, AF7:AF90,SUM( _xlfn._xlws.FILTER( _xlpm.r, MOD(ROW(_xlpm.r) - ROW(INDEX(_xlpm.r,1,1)) + 1, 2) = 1 ) ))</f>
        <v>2</v>
      </c>
      <c r="AG5" s="19" cm="1">
        <f t="array" ref="AG5">_xlfn.LET(_xlpm.r, AG7:AG90,SUM( _xlfn._xlws.FILTER( _xlpm.r, MOD(ROW(_xlpm.r) - ROW(INDEX(_xlpm.r,1,1)) + 1, 2) = 1 ) ))</f>
        <v>2</v>
      </c>
      <c r="AH5" s="19" cm="1">
        <f t="array" ref="AH5">_xlfn.LET(_xlpm.r, AH7:AH90,SUM( _xlfn._xlws.FILTER( _xlpm.r, MOD(ROW(_xlpm.r) - ROW(INDEX(_xlpm.r,1,1)) + 1, 2) = 1 ) ))</f>
        <v>2</v>
      </c>
      <c r="AI5" s="20" cm="1">
        <f t="array" ref="AI5">_xlfn.LET(_xlpm.r, AI7:AI90,SUM( _xlfn._xlws.FILTER( _xlpm.r, MOD(ROW(_xlpm.r) - ROW(INDEX(_xlpm.r,1,1)) + 1, 2) = 1 ) ))</f>
        <v>1</v>
      </c>
      <c r="AJ5" s="18" cm="1">
        <f t="array" ref="AJ5">_xlfn.LET(_xlpm.r, AJ7:AJ90,SUM( _xlfn._xlws.FILTER( _xlpm.r, MOD(ROW(_xlpm.r) - ROW(INDEX(_xlpm.r,1,1)) + 1, 2) = 1 ) ))</f>
        <v>2</v>
      </c>
      <c r="AK5" s="19" cm="1">
        <f t="array" ref="AK5">_xlfn.LET(_xlpm.r, AK7:AK90,SUM( _xlfn._xlws.FILTER( _xlpm.r, MOD(ROW(_xlpm.r) - ROW(INDEX(_xlpm.r,1,1)) + 1, 2) = 1 ) ))</f>
        <v>2</v>
      </c>
      <c r="AL5" s="19" cm="1">
        <f t="array" ref="AL5">_xlfn.LET(_xlpm.r, AL7:AL90,SUM( _xlfn._xlws.FILTER( _xlpm.r, MOD(ROW(_xlpm.r) - ROW(INDEX(_xlpm.r,1,1)) + 1, 2) = 1 ) ))</f>
        <v>2</v>
      </c>
      <c r="AM5" s="19" cm="1">
        <f t="array" ref="AM5">_xlfn.LET(_xlpm.r, AM7:AM90,SUM( _xlfn._xlws.FILTER( _xlpm.r, MOD(ROW(_xlpm.r) - ROW(INDEX(_xlpm.r,1,1)) + 1, 2) = 1 ) ))</f>
        <v>2</v>
      </c>
      <c r="AN5" s="20" cm="1">
        <f t="array" ref="AN5">_xlfn.LET(_xlpm.r, AN7:AN90,SUM( _xlfn._xlws.FILTER( _xlpm.r, MOD(ROW(_xlpm.r) - ROW(INDEX(_xlpm.r,1,1)) + 1, 2) = 1 ) ))</f>
        <v>0</v>
      </c>
      <c r="AO5" s="18" cm="1">
        <f t="array" ref="AO5">_xlfn.LET(_xlpm.r, AO7:AO90,SUM( _xlfn._xlws.FILTER( _xlpm.r, MOD(ROW(_xlpm.r) - ROW(INDEX(_xlpm.r,1,1)) + 1, 2) = 1 ) ))</f>
        <v>2</v>
      </c>
      <c r="AP5" s="19" cm="1">
        <f t="array" ref="AP5">_xlfn.LET(_xlpm.r, AP7:AP90,SUM( _xlfn._xlws.FILTER( _xlpm.r, MOD(ROW(_xlpm.r) - ROW(INDEX(_xlpm.r,1,1)) + 1, 2) = 1 ) ))</f>
        <v>2</v>
      </c>
      <c r="AQ5" s="19" cm="1">
        <f t="array" ref="AQ5">_xlfn.LET(_xlpm.r, AQ7:AQ90,SUM( _xlfn._xlws.FILTER( _xlpm.r, MOD(ROW(_xlpm.r) - ROW(INDEX(_xlpm.r,1,1)) + 1, 2) = 1 ) ))</f>
        <v>2</v>
      </c>
      <c r="AR5" s="19" cm="1">
        <f t="array" ref="AR5">_xlfn.LET(_xlpm.r, AR7:AR90,SUM( _xlfn._xlws.FILTER( _xlpm.r, MOD(ROW(_xlpm.r) - ROW(INDEX(_xlpm.r,1,1)) + 1, 2) = 1 ) ))</f>
        <v>2</v>
      </c>
      <c r="AS5" s="20" cm="1">
        <f t="array" ref="AS5">_xlfn.LET(_xlpm.r, AS7:AS90,SUM( _xlfn._xlws.FILTER( _xlpm.r, MOD(ROW(_xlpm.r) - ROW(INDEX(_xlpm.r,1,1)) + 1, 2) = 1 ) ))</f>
        <v>0</v>
      </c>
      <c r="AT5" s="18" cm="1">
        <f t="array" ref="AT5">_xlfn.LET(_xlpm.r, AT7:AT90,SUM( _xlfn._xlws.FILTER( _xlpm.r, MOD(ROW(_xlpm.r) - ROW(INDEX(_xlpm.r,1,1)) + 1, 2) = 1 ) ))</f>
        <v>2</v>
      </c>
      <c r="AU5" s="19" cm="1">
        <f t="array" ref="AU5">_xlfn.LET(_xlpm.r, AU7:AU90,SUM( _xlfn._xlws.FILTER( _xlpm.r, MOD(ROW(_xlpm.r) - ROW(INDEX(_xlpm.r,1,1)) + 1, 2) = 1 ) ))</f>
        <v>2</v>
      </c>
      <c r="AV5" s="18" cm="1">
        <f t="array" ref="AV5">_xlfn.LET(_xlpm.r, AV7:AV90,SUM( _xlfn._xlws.FILTER( _xlpm.r, MOD(ROW(_xlpm.r) - ROW(INDEX(_xlpm.r,1,1)) + 1, 2) = 1 ) ))</f>
        <v>2</v>
      </c>
      <c r="AW5" s="19" cm="1">
        <f t="array" ref="AW5">_xlfn.LET(_xlpm.r, AW7:AW90,SUM( _xlfn._xlws.FILTER( _xlpm.r, MOD(ROW(_xlpm.r) - ROW(INDEX(_xlpm.r,1,1)) + 1, 2) = 1 ) ))</f>
        <v>2</v>
      </c>
      <c r="AX5" s="19" cm="1">
        <f t="array" ref="AX5">_xlfn.LET(_xlpm.r, AX7:AX90,SUM( _xlfn._xlws.FILTER( _xlpm.r, MOD(ROW(_xlpm.r) - ROW(INDEX(_xlpm.r,1,1)) + 1, 2) = 1 ) ))</f>
        <v>2</v>
      </c>
      <c r="AY5" s="19" cm="1">
        <f t="array" ref="AY5">_xlfn.LET(_xlpm.r, AY7:AY90,SUM( _xlfn._xlws.FILTER( _xlpm.r, MOD(ROW(_xlpm.r) - ROW(INDEX(_xlpm.r,1,1)) + 1, 2) = 1 ) ))</f>
        <v>2</v>
      </c>
      <c r="AZ5" s="20" cm="1">
        <f t="array" ref="AZ5">_xlfn.LET(_xlpm.r, AZ7:AZ90,SUM( _xlfn._xlws.FILTER( _xlpm.r, MOD(ROW(_xlpm.r) - ROW(INDEX(_xlpm.r,1,1)) + 1, 2) = 1 ) ))</f>
        <v>0</v>
      </c>
      <c r="BA5" s="18" cm="1">
        <f t="array" ref="BA5">_xlfn.LET(_xlpm.r, BA7:BA90,SUM( _xlfn._xlws.FILTER( _xlpm.r, MOD(ROW(_xlpm.r) - ROW(INDEX(_xlpm.r,1,1)) + 1, 2) = 1 ) ))</f>
        <v>2</v>
      </c>
      <c r="BB5" s="19" cm="1">
        <f t="array" ref="BB5">_xlfn.LET(_xlpm.r, BB7:BB90,SUM( _xlfn._xlws.FILTER( _xlpm.r, MOD(ROW(_xlpm.r) - ROW(INDEX(_xlpm.r,1,1)) + 1, 2) = 1 ) ))</f>
        <v>1.5</v>
      </c>
    </row>
    <row r="6" spans="1:54" ht="15" customHeight="1" thickBot="1" x14ac:dyDescent="0.6">
      <c r="A6" s="21" t="s">
        <v>67</v>
      </c>
      <c r="B6" s="22" t="s">
        <v>13</v>
      </c>
      <c r="C6" s="23">
        <f>SUM(C7:C14)</f>
        <v>4.5</v>
      </c>
      <c r="D6" s="23">
        <f>SUM(D7:D14)</f>
        <v>4.5</v>
      </c>
      <c r="E6" s="24">
        <f>(C6-D6)</f>
        <v>0</v>
      </c>
      <c r="F6" s="94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6"/>
    </row>
    <row r="7" spans="1:54" ht="15" customHeight="1" x14ac:dyDescent="0.55000000000000004">
      <c r="A7" s="97" t="b">
        <v>1</v>
      </c>
      <c r="B7" s="99" t="s">
        <v>31</v>
      </c>
      <c r="C7" s="101">
        <f>SUM(F7:BB7)</f>
        <v>1</v>
      </c>
      <c r="D7" s="103">
        <f>SUM(F8:BB8)</f>
        <v>1</v>
      </c>
      <c r="E7" s="105">
        <f>(AVERAGE(C7,C8)-AVERAGE(D7,D8) )</f>
        <v>0</v>
      </c>
      <c r="F7" s="64">
        <v>1</v>
      </c>
      <c r="G7" s="58"/>
      <c r="H7" s="58"/>
      <c r="I7" s="58"/>
      <c r="J7" s="26"/>
      <c r="K7" s="25"/>
      <c r="L7" s="58"/>
      <c r="M7" s="58"/>
      <c r="N7" s="58"/>
      <c r="O7" s="26"/>
      <c r="P7" s="25"/>
      <c r="Q7" s="58"/>
      <c r="R7" s="58"/>
      <c r="S7" s="58"/>
      <c r="T7" s="26"/>
      <c r="U7" s="25"/>
      <c r="V7" s="58"/>
      <c r="W7" s="58"/>
      <c r="X7" s="58"/>
      <c r="Y7" s="26"/>
      <c r="Z7" s="25"/>
      <c r="AA7" s="58"/>
      <c r="AB7" s="58"/>
      <c r="AC7" s="58"/>
      <c r="AD7" s="26"/>
      <c r="AE7" s="25"/>
      <c r="AF7" s="58"/>
      <c r="AG7" s="58"/>
      <c r="AH7" s="58"/>
      <c r="AI7" s="26"/>
      <c r="AJ7" s="25"/>
      <c r="AK7" s="58"/>
      <c r="AL7" s="58"/>
      <c r="AM7" s="58"/>
      <c r="AN7" s="26"/>
      <c r="AO7" s="25"/>
      <c r="AP7" s="58"/>
      <c r="AQ7" s="58"/>
      <c r="AR7" s="58"/>
      <c r="AS7" s="26"/>
      <c r="AT7" s="25"/>
      <c r="AU7" s="58"/>
      <c r="AV7" s="25"/>
      <c r="AW7" s="58"/>
      <c r="AX7" s="58"/>
      <c r="AY7" s="58"/>
      <c r="AZ7" s="26"/>
      <c r="BA7" s="38"/>
      <c r="BB7" s="40"/>
    </row>
    <row r="8" spans="1:54" ht="15" customHeight="1" x14ac:dyDescent="0.55000000000000004">
      <c r="A8" s="98"/>
      <c r="B8" s="100"/>
      <c r="C8" s="102"/>
      <c r="D8" s="104"/>
      <c r="E8" s="106"/>
      <c r="F8" s="284">
        <v>1</v>
      </c>
      <c r="G8" s="28"/>
      <c r="H8" s="28"/>
      <c r="I8" s="28"/>
      <c r="J8" s="29"/>
      <c r="K8" s="27"/>
      <c r="L8" s="28"/>
      <c r="M8" s="28"/>
      <c r="N8" s="28"/>
      <c r="O8" s="29"/>
      <c r="P8" s="27"/>
      <c r="Q8" s="28"/>
      <c r="R8" s="28"/>
      <c r="S8" s="28"/>
      <c r="T8" s="29"/>
      <c r="U8" s="27"/>
      <c r="V8" s="28"/>
      <c r="W8" s="28"/>
      <c r="X8" s="28"/>
      <c r="Y8" s="29"/>
      <c r="Z8" s="27"/>
      <c r="AA8" s="28"/>
      <c r="AB8" s="28"/>
      <c r="AC8" s="28"/>
      <c r="AD8" s="29"/>
      <c r="AE8" s="27"/>
      <c r="AF8" s="28"/>
      <c r="AG8" s="28"/>
      <c r="AH8" s="28"/>
      <c r="AI8" s="29"/>
      <c r="AJ8" s="27"/>
      <c r="AK8" s="28"/>
      <c r="AL8" s="28"/>
      <c r="AM8" s="28"/>
      <c r="AN8" s="29"/>
      <c r="AO8" s="27"/>
      <c r="AP8" s="28"/>
      <c r="AQ8" s="28"/>
      <c r="AR8" s="28"/>
      <c r="AS8" s="29"/>
      <c r="AT8" s="27"/>
      <c r="AU8" s="28"/>
      <c r="AV8" s="27"/>
      <c r="AW8" s="28"/>
      <c r="AX8" s="28"/>
      <c r="AY8" s="28"/>
      <c r="AZ8" s="29"/>
      <c r="BA8" s="27"/>
      <c r="BB8" s="29"/>
    </row>
    <row r="9" spans="1:54" ht="15" customHeight="1" x14ac:dyDescent="0.55000000000000004">
      <c r="A9" s="109" t="b">
        <v>1</v>
      </c>
      <c r="B9" s="110" t="s">
        <v>37</v>
      </c>
      <c r="C9" s="111">
        <f>SUM(F9:BB9)</f>
        <v>0.5</v>
      </c>
      <c r="D9" s="111">
        <f>SUM(F10:BB10)</f>
        <v>0.5</v>
      </c>
      <c r="E9" s="112">
        <f>(AVERAGE(C9,C10)-AVERAGE(D9,D10) )</f>
        <v>0</v>
      </c>
      <c r="F9" s="58"/>
      <c r="G9" s="66">
        <v>0.5</v>
      </c>
      <c r="H9" s="58"/>
      <c r="I9" s="58"/>
      <c r="J9" s="26"/>
      <c r="K9" s="30"/>
      <c r="L9" s="31"/>
      <c r="M9" s="31"/>
      <c r="N9" s="31"/>
      <c r="O9" s="32"/>
      <c r="P9" s="25"/>
      <c r="Q9" s="58"/>
      <c r="R9" s="58"/>
      <c r="S9" s="58"/>
      <c r="T9" s="26"/>
      <c r="U9" s="30"/>
      <c r="V9" s="31"/>
      <c r="W9" s="31"/>
      <c r="X9" s="31"/>
      <c r="Y9" s="32"/>
      <c r="Z9" s="30"/>
      <c r="AA9" s="31"/>
      <c r="AB9" s="31"/>
      <c r="AC9" s="31"/>
      <c r="AD9" s="32"/>
      <c r="AE9" s="30"/>
      <c r="AF9" s="31"/>
      <c r="AG9" s="31"/>
      <c r="AH9" s="31"/>
      <c r="AI9" s="32"/>
      <c r="AJ9" s="30"/>
      <c r="AK9" s="31"/>
      <c r="AL9" s="31"/>
      <c r="AM9" s="31"/>
      <c r="AN9" s="32"/>
      <c r="AO9" s="30"/>
      <c r="AP9" s="31"/>
      <c r="AQ9" s="31"/>
      <c r="AR9" s="31"/>
      <c r="AS9" s="32"/>
      <c r="AT9" s="30"/>
      <c r="AU9" s="31"/>
      <c r="AV9" s="30"/>
      <c r="AW9" s="31"/>
      <c r="AX9" s="31"/>
      <c r="AY9" s="31"/>
      <c r="AZ9" s="32"/>
      <c r="BA9" s="30"/>
      <c r="BB9" s="32"/>
    </row>
    <row r="10" spans="1:54" ht="15" customHeight="1" x14ac:dyDescent="0.55000000000000004">
      <c r="A10" s="98"/>
      <c r="B10" s="100"/>
      <c r="C10" s="102"/>
      <c r="D10" s="102"/>
      <c r="E10" s="106"/>
      <c r="F10" s="28"/>
      <c r="G10" s="285">
        <v>0.5</v>
      </c>
      <c r="H10" s="28"/>
      <c r="I10" s="28"/>
      <c r="J10" s="29"/>
      <c r="K10" s="27"/>
      <c r="L10" s="28"/>
      <c r="M10" s="28"/>
      <c r="N10" s="28"/>
      <c r="O10" s="29"/>
      <c r="P10" s="27"/>
      <c r="Q10" s="28"/>
      <c r="R10" s="28"/>
      <c r="S10" s="28"/>
      <c r="T10" s="29"/>
      <c r="U10" s="27"/>
      <c r="V10" s="28"/>
      <c r="W10" s="28"/>
      <c r="X10" s="28"/>
      <c r="Y10" s="29"/>
      <c r="Z10" s="27"/>
      <c r="AA10" s="28"/>
      <c r="AB10" s="28"/>
      <c r="AC10" s="28"/>
      <c r="AD10" s="29"/>
      <c r="AE10" s="27"/>
      <c r="AF10" s="28"/>
      <c r="AG10" s="28"/>
      <c r="AH10" s="28"/>
      <c r="AI10" s="29"/>
      <c r="AJ10" s="27"/>
      <c r="AK10" s="28"/>
      <c r="AL10" s="28"/>
      <c r="AM10" s="28"/>
      <c r="AN10" s="29"/>
      <c r="AO10" s="27"/>
      <c r="AP10" s="28"/>
      <c r="AQ10" s="28"/>
      <c r="AR10" s="28"/>
      <c r="AS10" s="29"/>
      <c r="AT10" s="27"/>
      <c r="AU10" s="28"/>
      <c r="AV10" s="27"/>
      <c r="AW10" s="28"/>
      <c r="AX10" s="28"/>
      <c r="AY10" s="28"/>
      <c r="AZ10" s="29"/>
      <c r="BA10" s="27"/>
      <c r="BB10" s="29"/>
    </row>
    <row r="11" spans="1:54" ht="15" customHeight="1" x14ac:dyDescent="0.55000000000000004">
      <c r="A11" s="109" t="b">
        <v>1</v>
      </c>
      <c r="B11" s="110" t="s">
        <v>32</v>
      </c>
      <c r="C11" s="111">
        <f>SUM(F11:BB11)</f>
        <v>0.5</v>
      </c>
      <c r="D11" s="111">
        <f>SUM(F12:BB12)</f>
        <v>0.5</v>
      </c>
      <c r="E11" s="112">
        <f>(AVERAGE(C11,C12)-AVERAGE(D11,D12) )</f>
        <v>0</v>
      </c>
      <c r="F11" s="58"/>
      <c r="G11" s="66">
        <v>0.5</v>
      </c>
      <c r="H11" s="58"/>
      <c r="I11" s="58"/>
      <c r="J11" s="26"/>
      <c r="K11" s="30"/>
      <c r="L11" s="31"/>
      <c r="M11" s="31"/>
      <c r="N11" s="31"/>
      <c r="O11" s="32"/>
      <c r="P11" s="25"/>
      <c r="Q11" s="58"/>
      <c r="R11" s="58"/>
      <c r="S11" s="58"/>
      <c r="T11" s="26"/>
      <c r="U11" s="30"/>
      <c r="V11" s="31"/>
      <c r="W11" s="31"/>
      <c r="X11" s="31"/>
      <c r="Y11" s="32"/>
      <c r="Z11" s="30"/>
      <c r="AA11" s="31"/>
      <c r="AB11" s="31"/>
      <c r="AC11" s="31"/>
      <c r="AD11" s="32"/>
      <c r="AE11" s="30"/>
      <c r="AF11" s="31"/>
      <c r="AG11" s="31"/>
      <c r="AH11" s="31"/>
      <c r="AI11" s="32"/>
      <c r="AJ11" s="30"/>
      <c r="AK11" s="31"/>
      <c r="AL11" s="31"/>
      <c r="AM11" s="31"/>
      <c r="AN11" s="32"/>
      <c r="AO11" s="30"/>
      <c r="AP11" s="31"/>
      <c r="AQ11" s="31"/>
      <c r="AR11" s="31"/>
      <c r="AS11" s="32"/>
      <c r="AT11" s="30"/>
      <c r="AU11" s="31"/>
      <c r="AV11" s="30"/>
      <c r="AW11" s="31"/>
      <c r="AX11" s="31"/>
      <c r="AY11" s="31"/>
      <c r="AZ11" s="32"/>
      <c r="BA11" s="30"/>
      <c r="BB11" s="32"/>
    </row>
    <row r="12" spans="1:54" ht="15" customHeight="1" x14ac:dyDescent="0.55000000000000004">
      <c r="A12" s="98"/>
      <c r="B12" s="100"/>
      <c r="C12" s="102"/>
      <c r="D12" s="102"/>
      <c r="E12" s="106"/>
      <c r="F12" s="28"/>
      <c r="G12" s="285">
        <v>0.5</v>
      </c>
      <c r="H12" s="28"/>
      <c r="I12" s="28"/>
      <c r="J12" s="29"/>
      <c r="K12" s="27"/>
      <c r="L12" s="28"/>
      <c r="M12" s="28"/>
      <c r="N12" s="28"/>
      <c r="O12" s="29"/>
      <c r="P12" s="27"/>
      <c r="Q12" s="28"/>
      <c r="R12" s="28"/>
      <c r="S12" s="28"/>
      <c r="T12" s="29"/>
      <c r="U12" s="27"/>
      <c r="V12" s="28"/>
      <c r="W12" s="28"/>
      <c r="X12" s="28"/>
      <c r="Y12" s="29"/>
      <c r="Z12" s="27"/>
      <c r="AA12" s="28"/>
      <c r="AB12" s="28"/>
      <c r="AC12" s="28"/>
      <c r="AD12" s="29"/>
      <c r="AE12" s="27"/>
      <c r="AF12" s="28"/>
      <c r="AG12" s="28"/>
      <c r="AH12" s="28"/>
      <c r="AI12" s="29"/>
      <c r="AJ12" s="27"/>
      <c r="AK12" s="28"/>
      <c r="AL12" s="28"/>
      <c r="AM12" s="28"/>
      <c r="AN12" s="29"/>
      <c r="AO12" s="27"/>
      <c r="AP12" s="28"/>
      <c r="AQ12" s="28"/>
      <c r="AR12" s="28"/>
      <c r="AS12" s="29"/>
      <c r="AT12" s="27"/>
      <c r="AU12" s="28"/>
      <c r="AV12" s="27"/>
      <c r="AW12" s="28"/>
      <c r="AX12" s="28"/>
      <c r="AY12" s="28"/>
      <c r="AZ12" s="29"/>
      <c r="BA12" s="27"/>
      <c r="BB12" s="29"/>
    </row>
    <row r="13" spans="1:54" ht="15" customHeight="1" x14ac:dyDescent="0.55000000000000004">
      <c r="A13" s="109" t="b">
        <v>1</v>
      </c>
      <c r="B13" s="110" t="s">
        <v>38</v>
      </c>
      <c r="C13" s="111">
        <f>SUM(F13:BB13)</f>
        <v>2.5</v>
      </c>
      <c r="D13" s="111">
        <f>SUM(F14:BB14)</f>
        <v>2.5</v>
      </c>
      <c r="E13" s="112">
        <f>(AVERAGE(C13,C14)-AVERAGE(D13,D14) )</f>
        <v>0</v>
      </c>
      <c r="F13" s="25"/>
      <c r="G13" s="66">
        <v>0.5</v>
      </c>
      <c r="H13" s="66">
        <v>1.5</v>
      </c>
      <c r="I13" s="66">
        <v>0.5</v>
      </c>
      <c r="J13" s="26"/>
      <c r="K13" s="30"/>
      <c r="L13" s="31"/>
      <c r="M13" s="31"/>
      <c r="N13" s="31"/>
      <c r="O13" s="32"/>
      <c r="P13" s="25"/>
      <c r="Q13" s="58"/>
      <c r="R13" s="58"/>
      <c r="S13" s="58"/>
      <c r="T13" s="26"/>
      <c r="U13" s="30"/>
      <c r="V13" s="31"/>
      <c r="W13" s="31"/>
      <c r="X13" s="31"/>
      <c r="Y13" s="32"/>
      <c r="Z13" s="30"/>
      <c r="AA13" s="31"/>
      <c r="AB13" s="31"/>
      <c r="AC13" s="31"/>
      <c r="AD13" s="32"/>
      <c r="AE13" s="30"/>
      <c r="AF13" s="31"/>
      <c r="AG13" s="31"/>
      <c r="AH13" s="31"/>
      <c r="AI13" s="32"/>
      <c r="AJ13" s="30"/>
      <c r="AK13" s="31"/>
      <c r="AL13" s="31"/>
      <c r="AM13" s="31"/>
      <c r="AN13" s="32"/>
      <c r="AO13" s="30"/>
      <c r="AP13" s="31"/>
      <c r="AQ13" s="31"/>
      <c r="AR13" s="31"/>
      <c r="AS13" s="32"/>
      <c r="AT13" s="30"/>
      <c r="AU13" s="31"/>
      <c r="AV13" s="30"/>
      <c r="AW13" s="31"/>
      <c r="AX13" s="31"/>
      <c r="AY13" s="31"/>
      <c r="AZ13" s="32"/>
      <c r="BA13" s="30"/>
      <c r="BB13" s="32"/>
    </row>
    <row r="14" spans="1:54" ht="15" customHeight="1" thickBot="1" x14ac:dyDescent="0.6">
      <c r="A14" s="98"/>
      <c r="B14" s="100"/>
      <c r="C14" s="102"/>
      <c r="D14" s="102"/>
      <c r="E14" s="106"/>
      <c r="F14" s="27"/>
      <c r="G14" s="285">
        <v>0.5</v>
      </c>
      <c r="H14" s="285">
        <v>1.5</v>
      </c>
      <c r="I14" s="285">
        <v>0.5</v>
      </c>
      <c r="J14" s="29"/>
      <c r="K14" s="27"/>
      <c r="L14" s="28"/>
      <c r="M14" s="28"/>
      <c r="N14" s="28"/>
      <c r="O14" s="29"/>
      <c r="P14" s="27"/>
      <c r="Q14" s="28"/>
      <c r="R14" s="28"/>
      <c r="S14" s="28"/>
      <c r="T14" s="29"/>
      <c r="U14" s="27"/>
      <c r="V14" s="28"/>
      <c r="W14" s="28"/>
      <c r="X14" s="28"/>
      <c r="Y14" s="29"/>
      <c r="Z14" s="27"/>
      <c r="AA14" s="28"/>
      <c r="AB14" s="28"/>
      <c r="AC14" s="28"/>
      <c r="AD14" s="29"/>
      <c r="AE14" s="27"/>
      <c r="AF14" s="28"/>
      <c r="AG14" s="28"/>
      <c r="AH14" s="28"/>
      <c r="AI14" s="29"/>
      <c r="AJ14" s="27"/>
      <c r="AK14" s="28"/>
      <c r="AL14" s="28"/>
      <c r="AM14" s="28"/>
      <c r="AN14" s="29"/>
      <c r="AO14" s="27"/>
      <c r="AP14" s="28"/>
      <c r="AQ14" s="28"/>
      <c r="AR14" s="28"/>
      <c r="AS14" s="29"/>
      <c r="AT14" s="27"/>
      <c r="AU14" s="28"/>
      <c r="AV14" s="27"/>
      <c r="AW14" s="28"/>
      <c r="AX14" s="28"/>
      <c r="AY14" s="28"/>
      <c r="AZ14" s="29"/>
      <c r="BA14" s="27"/>
      <c r="BB14" s="29"/>
    </row>
    <row r="15" spans="1:54" x14ac:dyDescent="0.55000000000000004">
      <c r="A15" s="123" t="b">
        <v>1</v>
      </c>
      <c r="B15" s="125" t="s">
        <v>14</v>
      </c>
      <c r="C15" s="127">
        <f>SUM(C17:C20)</f>
        <v>1</v>
      </c>
      <c r="D15" s="127">
        <f>SUM(D17:D20)</f>
        <v>1</v>
      </c>
      <c r="E15" s="129">
        <f>(C15-D15)</f>
        <v>0</v>
      </c>
      <c r="F15" s="113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5"/>
    </row>
    <row r="16" spans="1:54" ht="14.7" thickBot="1" x14ac:dyDescent="0.6">
      <c r="A16" s="124"/>
      <c r="B16" s="126"/>
      <c r="C16" s="128"/>
      <c r="D16" s="128"/>
      <c r="E16" s="130"/>
      <c r="F16" s="116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8"/>
    </row>
    <row r="17" spans="1:54" ht="15" customHeight="1" x14ac:dyDescent="0.55000000000000004">
      <c r="A17" s="119" t="b">
        <v>1</v>
      </c>
      <c r="B17" s="121" t="s">
        <v>54</v>
      </c>
      <c r="C17" s="111">
        <f>SUM(F17:BB17)</f>
        <v>0.5</v>
      </c>
      <c r="D17" s="111">
        <f>SUM(F18:BB18)</f>
        <v>0.5</v>
      </c>
      <c r="E17" s="105">
        <f>(AVERAGE(C17,C18)-AVERAGE(D17,D18) )</f>
        <v>0</v>
      </c>
      <c r="F17" s="25"/>
      <c r="G17" s="58"/>
      <c r="H17" s="58"/>
      <c r="I17" s="66">
        <v>0.5</v>
      </c>
      <c r="J17" s="26"/>
      <c r="K17" s="25"/>
      <c r="L17" s="58"/>
      <c r="M17" s="58"/>
      <c r="N17" s="58"/>
      <c r="O17" s="26"/>
      <c r="P17" s="25"/>
      <c r="Q17" s="58"/>
      <c r="R17" s="58"/>
      <c r="S17" s="58"/>
      <c r="T17" s="26"/>
      <c r="U17" s="25"/>
      <c r="V17" s="58"/>
      <c r="W17" s="58"/>
      <c r="X17" s="58"/>
      <c r="Y17" s="26"/>
      <c r="Z17" s="25"/>
      <c r="AA17" s="58"/>
      <c r="AB17" s="58"/>
      <c r="AC17" s="58"/>
      <c r="AD17" s="26"/>
      <c r="AE17" s="25"/>
      <c r="AF17" s="58"/>
      <c r="AG17" s="58"/>
      <c r="AH17" s="58"/>
      <c r="AI17" s="26"/>
      <c r="AJ17" s="25"/>
      <c r="AK17" s="58"/>
      <c r="AL17" s="58"/>
      <c r="AM17" s="58"/>
      <c r="AN17" s="26"/>
      <c r="AO17" s="25"/>
      <c r="AP17" s="58"/>
      <c r="AQ17" s="58"/>
      <c r="AR17" s="58"/>
      <c r="AS17" s="26"/>
      <c r="AT17" s="25"/>
      <c r="AU17" s="58"/>
      <c r="AV17" s="25"/>
      <c r="AW17" s="58"/>
      <c r="AX17" s="58"/>
      <c r="AY17" s="58"/>
      <c r="AZ17" s="26"/>
      <c r="BA17" s="25"/>
      <c r="BB17" s="26"/>
    </row>
    <row r="18" spans="1:54" ht="15" customHeight="1" x14ac:dyDescent="0.55000000000000004">
      <c r="A18" s="120"/>
      <c r="B18" s="122"/>
      <c r="C18" s="102"/>
      <c r="D18" s="102"/>
      <c r="E18" s="106"/>
      <c r="F18" s="27"/>
      <c r="G18" s="28"/>
      <c r="H18" s="28"/>
      <c r="I18" s="285">
        <v>0.5</v>
      </c>
      <c r="J18" s="29"/>
      <c r="K18" s="27"/>
      <c r="L18" s="28"/>
      <c r="M18" s="28"/>
      <c r="N18" s="28"/>
      <c r="O18" s="29"/>
      <c r="P18" s="27"/>
      <c r="Q18" s="28"/>
      <c r="R18" s="28"/>
      <c r="S18" s="28"/>
      <c r="T18" s="29"/>
      <c r="U18" s="27"/>
      <c r="V18" s="28"/>
      <c r="W18" s="28"/>
      <c r="X18" s="28"/>
      <c r="Y18" s="29"/>
      <c r="Z18" s="27"/>
      <c r="AA18" s="28"/>
      <c r="AB18" s="28"/>
      <c r="AC18" s="28"/>
      <c r="AD18" s="29"/>
      <c r="AE18" s="27"/>
      <c r="AF18" s="28"/>
      <c r="AG18" s="28"/>
      <c r="AH18" s="28"/>
      <c r="AI18" s="29"/>
      <c r="AJ18" s="27"/>
      <c r="AK18" s="28"/>
      <c r="AL18" s="28"/>
      <c r="AM18" s="28"/>
      <c r="AN18" s="29"/>
      <c r="AO18" s="27"/>
      <c r="AP18" s="28"/>
      <c r="AQ18" s="28"/>
      <c r="AR18" s="28"/>
      <c r="AS18" s="29"/>
      <c r="AT18" s="27"/>
      <c r="AU18" s="28"/>
      <c r="AV18" s="27"/>
      <c r="AW18" s="28"/>
      <c r="AX18" s="28"/>
      <c r="AY18" s="28"/>
      <c r="AZ18" s="29"/>
      <c r="BA18" s="27"/>
      <c r="BB18" s="29"/>
    </row>
    <row r="19" spans="1:54" ht="15" customHeight="1" x14ac:dyDescent="0.55000000000000004">
      <c r="A19" s="141" t="b">
        <v>1</v>
      </c>
      <c r="B19" s="287" t="s">
        <v>66</v>
      </c>
      <c r="C19" s="111">
        <f>SUM(F19:BB19)</f>
        <v>0.5</v>
      </c>
      <c r="D19" s="111">
        <f>SUM(F20:BB20)</f>
        <v>0.5</v>
      </c>
      <c r="E19" s="112">
        <f>(AVERAGE(C19,C20)-AVERAGE(D19,D20) )</f>
        <v>0</v>
      </c>
      <c r="F19" s="30"/>
      <c r="G19" s="31"/>
      <c r="H19" s="31"/>
      <c r="I19" s="70">
        <v>0.5</v>
      </c>
      <c r="J19" s="32"/>
      <c r="K19" s="30"/>
      <c r="L19" s="31"/>
      <c r="M19" s="31"/>
      <c r="N19" s="31"/>
      <c r="O19" s="32"/>
      <c r="P19" s="25"/>
      <c r="Q19" s="58"/>
      <c r="R19" s="58"/>
      <c r="S19" s="58"/>
      <c r="T19" s="26"/>
      <c r="U19" s="30"/>
      <c r="V19" s="31"/>
      <c r="W19" s="31"/>
      <c r="X19" s="31"/>
      <c r="Y19" s="32"/>
      <c r="Z19" s="30"/>
      <c r="AA19" s="31"/>
      <c r="AB19" s="31"/>
      <c r="AC19" s="31"/>
      <c r="AD19" s="32"/>
      <c r="AE19" s="30"/>
      <c r="AF19" s="31"/>
      <c r="AG19" s="31"/>
      <c r="AH19" s="31"/>
      <c r="AI19" s="32"/>
      <c r="AJ19" s="30"/>
      <c r="AK19" s="31"/>
      <c r="AL19" s="31"/>
      <c r="AM19" s="31"/>
      <c r="AN19" s="32"/>
      <c r="AO19" s="30"/>
      <c r="AP19" s="31"/>
      <c r="AQ19" s="31"/>
      <c r="AR19" s="31"/>
      <c r="AS19" s="32"/>
      <c r="AT19" s="30"/>
      <c r="AU19" s="31"/>
      <c r="AV19" s="30"/>
      <c r="AW19" s="31"/>
      <c r="AX19" s="31"/>
      <c r="AY19" s="31"/>
      <c r="AZ19" s="32"/>
      <c r="BA19" s="30"/>
      <c r="BB19" s="32"/>
    </row>
    <row r="20" spans="1:54" ht="15" customHeight="1" thickBot="1" x14ac:dyDescent="0.6">
      <c r="A20" s="120"/>
      <c r="B20" s="142"/>
      <c r="C20" s="102"/>
      <c r="D20" s="102"/>
      <c r="E20" s="143"/>
      <c r="F20" s="25"/>
      <c r="G20" s="58"/>
      <c r="H20" s="58"/>
      <c r="I20" s="286">
        <v>0.5</v>
      </c>
      <c r="J20" s="26"/>
      <c r="K20" s="25"/>
      <c r="L20" s="58"/>
      <c r="M20" s="58"/>
      <c r="N20" s="58"/>
      <c r="O20" s="26"/>
      <c r="P20" s="27"/>
      <c r="Q20" s="28"/>
      <c r="R20" s="28"/>
      <c r="S20" s="28"/>
      <c r="T20" s="29"/>
      <c r="U20" s="25"/>
      <c r="V20" s="58"/>
      <c r="W20" s="58"/>
      <c r="X20" s="58"/>
      <c r="Y20" s="26"/>
      <c r="Z20" s="25"/>
      <c r="AA20" s="58"/>
      <c r="AB20" s="58"/>
      <c r="AC20" s="58"/>
      <c r="AD20" s="26"/>
      <c r="AE20" s="25"/>
      <c r="AF20" s="58"/>
      <c r="AG20" s="58"/>
      <c r="AH20" s="58"/>
      <c r="AI20" s="26"/>
      <c r="AJ20" s="25"/>
      <c r="AK20" s="58"/>
      <c r="AL20" s="58"/>
      <c r="AM20" s="58"/>
      <c r="AN20" s="26"/>
      <c r="AO20" s="25"/>
      <c r="AP20" s="58"/>
      <c r="AQ20" s="58"/>
      <c r="AR20" s="58"/>
      <c r="AS20" s="26"/>
      <c r="AT20" s="25"/>
      <c r="AU20" s="58"/>
      <c r="AV20" s="25"/>
      <c r="AW20" s="58"/>
      <c r="AX20" s="58"/>
      <c r="AY20" s="58"/>
      <c r="AZ20" s="26"/>
      <c r="BA20" s="25"/>
      <c r="BB20" s="26"/>
    </row>
    <row r="21" spans="1:54" ht="18" customHeight="1" x14ac:dyDescent="0.55000000000000004">
      <c r="A21" s="144" t="b">
        <v>0</v>
      </c>
      <c r="B21" s="146" t="s">
        <v>15</v>
      </c>
      <c r="C21" s="148">
        <f>SUM(C23:C28)</f>
        <v>3</v>
      </c>
      <c r="D21" s="148">
        <f>SUM(D23:D28)</f>
        <v>2.5</v>
      </c>
      <c r="E21" s="150">
        <f>(C21-D21)</f>
        <v>0.5</v>
      </c>
      <c r="F21" s="131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3"/>
    </row>
    <row r="22" spans="1:54" ht="18" customHeight="1" thickBot="1" x14ac:dyDescent="0.6">
      <c r="A22" s="145"/>
      <c r="B22" s="147"/>
      <c r="C22" s="149"/>
      <c r="D22" s="149"/>
      <c r="E22" s="151"/>
      <c r="F22" s="134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6"/>
    </row>
    <row r="23" spans="1:54" ht="15" customHeight="1" x14ac:dyDescent="0.55000000000000004">
      <c r="A23" s="137" t="b">
        <v>1</v>
      </c>
      <c r="B23" s="139" t="s">
        <v>33</v>
      </c>
      <c r="C23" s="111">
        <f>SUM(F23:BB23)</f>
        <v>1</v>
      </c>
      <c r="D23" s="111">
        <f>SUM(F24:BB24)</f>
        <v>1</v>
      </c>
      <c r="E23" s="105">
        <f>(AVERAGE(C23,C24)-AVERAGE(D23,D24) )</f>
        <v>0</v>
      </c>
      <c r="F23" s="33"/>
      <c r="G23" s="62"/>
      <c r="H23" s="62"/>
      <c r="I23" s="62"/>
      <c r="J23" s="34" t="s">
        <v>62</v>
      </c>
      <c r="K23" s="64">
        <v>1</v>
      </c>
      <c r="L23" s="58"/>
      <c r="M23" s="58"/>
      <c r="N23" s="58"/>
      <c r="O23" s="26"/>
      <c r="P23" s="25"/>
      <c r="Q23" s="58"/>
      <c r="R23" s="58"/>
      <c r="S23" s="58"/>
      <c r="T23" s="26"/>
      <c r="U23" s="25"/>
      <c r="V23" s="58"/>
      <c r="W23" s="58"/>
      <c r="X23" s="58"/>
      <c r="Y23" s="26"/>
      <c r="Z23" s="25"/>
      <c r="AA23" s="58"/>
      <c r="AB23" s="58"/>
      <c r="AC23" s="58"/>
      <c r="AD23" s="26"/>
      <c r="AE23" s="25"/>
      <c r="AF23" s="58"/>
      <c r="AG23" s="58"/>
      <c r="AH23" s="58"/>
      <c r="AI23" s="26"/>
      <c r="AJ23" s="25"/>
      <c r="AK23" s="58"/>
      <c r="AL23" s="58"/>
      <c r="AM23" s="58"/>
      <c r="AN23" s="26"/>
      <c r="AO23" s="25"/>
      <c r="AP23" s="58"/>
      <c r="AQ23" s="58"/>
      <c r="AR23" s="58"/>
      <c r="AS23" s="26"/>
      <c r="AT23" s="25"/>
      <c r="AU23" s="58"/>
      <c r="AV23" s="25"/>
      <c r="AW23" s="58"/>
      <c r="AX23" s="58"/>
      <c r="AY23" s="58"/>
      <c r="AZ23" s="26"/>
      <c r="BA23" s="25"/>
      <c r="BB23" s="26"/>
    </row>
    <row r="24" spans="1:54" ht="15" customHeight="1" x14ac:dyDescent="0.55000000000000004">
      <c r="A24" s="138"/>
      <c r="B24" s="140"/>
      <c r="C24" s="102"/>
      <c r="D24" s="102"/>
      <c r="E24" s="106"/>
      <c r="F24" s="35"/>
      <c r="G24" s="36"/>
      <c r="H24" s="36"/>
      <c r="I24" s="36"/>
      <c r="J24" s="37"/>
      <c r="K24" s="27">
        <v>1</v>
      </c>
      <c r="L24" s="28"/>
      <c r="M24" s="28"/>
      <c r="N24" s="28"/>
      <c r="O24" s="29"/>
      <c r="P24" s="27"/>
      <c r="Q24" s="28"/>
      <c r="R24" s="28"/>
      <c r="S24" s="28"/>
      <c r="T24" s="29"/>
      <c r="U24" s="27"/>
      <c r="V24" s="28"/>
      <c r="W24" s="28"/>
      <c r="X24" s="28"/>
      <c r="Y24" s="29"/>
      <c r="Z24" s="27"/>
      <c r="AA24" s="28"/>
      <c r="AB24" s="28"/>
      <c r="AC24" s="28"/>
      <c r="AD24" s="29"/>
      <c r="AE24" s="27"/>
      <c r="AF24" s="28"/>
      <c r="AG24" s="28"/>
      <c r="AH24" s="28"/>
      <c r="AI24" s="29"/>
      <c r="AJ24" s="27"/>
      <c r="AK24" s="28"/>
      <c r="AL24" s="28"/>
      <c r="AM24" s="28"/>
      <c r="AN24" s="29"/>
      <c r="AO24" s="27"/>
      <c r="AP24" s="28"/>
      <c r="AQ24" s="28"/>
      <c r="AR24" s="28"/>
      <c r="AS24" s="29"/>
      <c r="AT24" s="27"/>
      <c r="AU24" s="28"/>
      <c r="AV24" s="27"/>
      <c r="AW24" s="28"/>
      <c r="AX24" s="28"/>
      <c r="AY24" s="28"/>
      <c r="AZ24" s="29"/>
      <c r="BA24" s="27"/>
      <c r="BB24" s="29"/>
    </row>
    <row r="25" spans="1:54" ht="15" customHeight="1" x14ac:dyDescent="0.55000000000000004">
      <c r="A25" s="166" t="b">
        <v>0</v>
      </c>
      <c r="B25" s="167" t="s">
        <v>34</v>
      </c>
      <c r="C25" s="111">
        <f>SUM(F25:BB25)</f>
        <v>1</v>
      </c>
      <c r="D25" s="111">
        <f>SUM(F26:BB26)</f>
        <v>0.5</v>
      </c>
      <c r="E25" s="112">
        <f>(AVERAGE(C25,C26)-AVERAGE(D25,D26) )</f>
        <v>0.5</v>
      </c>
      <c r="F25" s="33"/>
      <c r="G25" s="62"/>
      <c r="H25" s="62"/>
      <c r="I25" s="62"/>
      <c r="J25" s="34"/>
      <c r="K25" s="71">
        <v>1</v>
      </c>
      <c r="L25" s="58"/>
      <c r="M25" s="31"/>
      <c r="N25" s="31"/>
      <c r="O25" s="32"/>
      <c r="P25" s="25"/>
      <c r="Q25" s="58"/>
      <c r="R25" s="58"/>
      <c r="S25" s="58"/>
      <c r="T25" s="26"/>
      <c r="U25" s="30"/>
      <c r="V25" s="58"/>
      <c r="W25" s="31"/>
      <c r="X25" s="31"/>
      <c r="Y25" s="32"/>
      <c r="Z25" s="30"/>
      <c r="AA25" s="58"/>
      <c r="AB25" s="31"/>
      <c r="AC25" s="31"/>
      <c r="AD25" s="32"/>
      <c r="AE25" s="30"/>
      <c r="AF25" s="58"/>
      <c r="AG25" s="31"/>
      <c r="AH25" s="31"/>
      <c r="AI25" s="32"/>
      <c r="AJ25" s="30"/>
      <c r="AK25" s="58"/>
      <c r="AL25" s="31"/>
      <c r="AM25" s="31"/>
      <c r="AN25" s="32"/>
      <c r="AO25" s="30"/>
      <c r="AP25" s="58"/>
      <c r="AQ25" s="31"/>
      <c r="AR25" s="31"/>
      <c r="AS25" s="32"/>
      <c r="AT25" s="30"/>
      <c r="AU25" s="58"/>
      <c r="AV25" s="30"/>
      <c r="AW25" s="58"/>
      <c r="AX25" s="31"/>
      <c r="AY25" s="31"/>
      <c r="AZ25" s="32"/>
      <c r="BA25" s="30"/>
      <c r="BB25" s="26"/>
    </row>
    <row r="26" spans="1:54" ht="15" customHeight="1" x14ac:dyDescent="0.55000000000000004">
      <c r="A26" s="138"/>
      <c r="B26" s="140"/>
      <c r="C26" s="102"/>
      <c r="D26" s="102"/>
      <c r="E26" s="106"/>
      <c r="F26" s="35"/>
      <c r="G26" s="36"/>
      <c r="H26" s="36"/>
      <c r="I26" s="36"/>
      <c r="J26" s="37"/>
      <c r="K26" s="27">
        <v>0.3</v>
      </c>
      <c r="L26" s="28">
        <v>0.2</v>
      </c>
      <c r="M26" s="28"/>
      <c r="N26" s="28"/>
      <c r="O26" s="29"/>
      <c r="P26" s="27"/>
      <c r="Q26" s="28"/>
      <c r="R26" s="28"/>
      <c r="S26" s="28"/>
      <c r="T26" s="29"/>
      <c r="U26" s="27"/>
      <c r="V26" s="28"/>
      <c r="W26" s="28"/>
      <c r="X26" s="28"/>
      <c r="Y26" s="29"/>
      <c r="Z26" s="27"/>
      <c r="AA26" s="28"/>
      <c r="AB26" s="28"/>
      <c r="AC26" s="28"/>
      <c r="AD26" s="29"/>
      <c r="AE26" s="27"/>
      <c r="AF26" s="28"/>
      <c r="AG26" s="28"/>
      <c r="AH26" s="28"/>
      <c r="AI26" s="29"/>
      <c r="AJ26" s="27"/>
      <c r="AK26" s="28"/>
      <c r="AL26" s="28"/>
      <c r="AM26" s="28"/>
      <c r="AN26" s="29"/>
      <c r="AO26" s="27"/>
      <c r="AP26" s="28"/>
      <c r="AQ26" s="28"/>
      <c r="AR26" s="28"/>
      <c r="AS26" s="29"/>
      <c r="AT26" s="27"/>
      <c r="AU26" s="28"/>
      <c r="AV26" s="27"/>
      <c r="AW26" s="28"/>
      <c r="AX26" s="28"/>
      <c r="AY26" s="28"/>
      <c r="AZ26" s="29"/>
      <c r="BA26" s="27"/>
      <c r="BB26" s="29"/>
    </row>
    <row r="27" spans="1:54" ht="15" customHeight="1" x14ac:dyDescent="0.55000000000000004">
      <c r="A27" s="166" t="b">
        <v>0</v>
      </c>
      <c r="B27" s="167" t="s">
        <v>35</v>
      </c>
      <c r="C27" s="111">
        <f>SUM(F27:BB27)</f>
        <v>1</v>
      </c>
      <c r="D27" s="111">
        <f>SUM(F28:BB28)</f>
        <v>1</v>
      </c>
      <c r="E27" s="112">
        <f>(AVERAGE(C27,C28)-AVERAGE(D27,D28) )</f>
        <v>0</v>
      </c>
      <c r="F27" s="33"/>
      <c r="G27" s="62"/>
      <c r="H27" s="62"/>
      <c r="I27" s="62"/>
      <c r="J27" s="34"/>
      <c r="K27" s="30"/>
      <c r="L27" s="66">
        <v>1</v>
      </c>
      <c r="M27" s="31"/>
      <c r="N27" s="31"/>
      <c r="O27" s="32"/>
      <c r="P27" s="25"/>
      <c r="Q27" s="58"/>
      <c r="R27" s="58"/>
      <c r="S27" s="58"/>
      <c r="T27" s="26"/>
      <c r="U27" s="30"/>
      <c r="V27" s="31"/>
      <c r="W27" s="31"/>
      <c r="X27" s="31"/>
      <c r="Y27" s="32"/>
      <c r="Z27" s="30"/>
      <c r="AA27" s="31"/>
      <c r="AB27" s="31"/>
      <c r="AC27" s="31"/>
      <c r="AD27" s="32"/>
      <c r="AE27" s="30"/>
      <c r="AF27" s="31"/>
      <c r="AG27" s="31"/>
      <c r="AH27" s="31"/>
      <c r="AI27" s="32"/>
      <c r="AJ27" s="30"/>
      <c r="AK27" s="31"/>
      <c r="AL27" s="31"/>
      <c r="AM27" s="31"/>
      <c r="AN27" s="32"/>
      <c r="AO27" s="30"/>
      <c r="AP27" s="31"/>
      <c r="AQ27" s="31"/>
      <c r="AR27" s="31"/>
      <c r="AS27" s="32"/>
      <c r="AT27" s="30"/>
      <c r="AU27" s="31"/>
      <c r="AV27" s="30"/>
      <c r="AW27" s="31"/>
      <c r="AX27" s="31"/>
      <c r="AY27" s="31"/>
      <c r="AZ27" s="32"/>
      <c r="BA27" s="30"/>
      <c r="BB27" s="32"/>
    </row>
    <row r="28" spans="1:54" ht="15" customHeight="1" thickBot="1" x14ac:dyDescent="0.6">
      <c r="A28" s="138"/>
      <c r="B28" s="140"/>
      <c r="C28" s="102"/>
      <c r="D28" s="102"/>
      <c r="E28" s="143"/>
      <c r="F28" s="33"/>
      <c r="G28" s="62"/>
      <c r="H28" s="62"/>
      <c r="I28" s="62"/>
      <c r="J28" s="34"/>
      <c r="K28" s="25"/>
      <c r="L28" s="58">
        <v>1</v>
      </c>
      <c r="M28" s="58"/>
      <c r="N28" s="58"/>
      <c r="O28" s="26"/>
      <c r="P28" s="27"/>
      <c r="Q28" s="28"/>
      <c r="R28" s="28"/>
      <c r="S28" s="28"/>
      <c r="T28" s="29"/>
      <c r="U28" s="25"/>
      <c r="V28" s="58"/>
      <c r="W28" s="58"/>
      <c r="X28" s="58"/>
      <c r="Y28" s="26"/>
      <c r="Z28" s="25"/>
      <c r="AA28" s="58"/>
      <c r="AB28" s="58"/>
      <c r="AC28" s="58"/>
      <c r="AD28" s="26"/>
      <c r="AE28" s="25"/>
      <c r="AF28" s="58"/>
      <c r="AG28" s="58"/>
      <c r="AH28" s="58"/>
      <c r="AI28" s="26"/>
      <c r="AJ28" s="25"/>
      <c r="AK28" s="58"/>
      <c r="AL28" s="58"/>
      <c r="AM28" s="58"/>
      <c r="AN28" s="26"/>
      <c r="AO28" s="25"/>
      <c r="AP28" s="58"/>
      <c r="AQ28" s="58"/>
      <c r="AR28" s="58"/>
      <c r="AS28" s="26"/>
      <c r="AT28" s="25"/>
      <c r="AU28" s="58"/>
      <c r="AV28" s="25"/>
      <c r="AW28" s="58"/>
      <c r="AX28" s="58"/>
      <c r="AY28" s="58"/>
      <c r="AZ28" s="26"/>
      <c r="BA28" s="25"/>
      <c r="BB28" s="26"/>
    </row>
    <row r="29" spans="1:54" ht="16" customHeight="1" x14ac:dyDescent="0.55000000000000004">
      <c r="A29" s="152" t="b">
        <v>0</v>
      </c>
      <c r="B29" s="154" t="s">
        <v>16</v>
      </c>
      <c r="C29" s="156">
        <f>SUM(C31:C40)</f>
        <v>7.5</v>
      </c>
      <c r="D29" s="156">
        <f>SUM(D31:D40)</f>
        <v>0</v>
      </c>
      <c r="E29" s="158">
        <f>(C29-D29)</f>
        <v>7.5</v>
      </c>
      <c r="F29" s="160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2"/>
    </row>
    <row r="30" spans="1:54" ht="16" customHeight="1" thickBot="1" x14ac:dyDescent="0.6">
      <c r="A30" s="153"/>
      <c r="B30" s="155"/>
      <c r="C30" s="157"/>
      <c r="D30" s="157"/>
      <c r="E30" s="159"/>
      <c r="F30" s="163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5"/>
    </row>
    <row r="31" spans="1:54" ht="15" customHeight="1" x14ac:dyDescent="0.55000000000000004">
      <c r="A31" s="168" t="b">
        <v>0</v>
      </c>
      <c r="B31" s="170" t="s">
        <v>39</v>
      </c>
      <c r="C31" s="111">
        <f>SUM(F31:BB31)</f>
        <v>1.5</v>
      </c>
      <c r="D31" s="111">
        <f>SUM(F32:BB32)</f>
        <v>0</v>
      </c>
      <c r="E31" s="105">
        <f>(AVERAGE(C31,C32)-AVERAGE(D31,D32) )</f>
        <v>1.5</v>
      </c>
      <c r="F31" s="25"/>
      <c r="G31" s="58"/>
      <c r="H31" s="58"/>
      <c r="I31" s="58"/>
      <c r="J31" s="26"/>
      <c r="K31" s="25"/>
      <c r="L31" s="66">
        <v>0.5</v>
      </c>
      <c r="M31" s="66">
        <v>0.5</v>
      </c>
      <c r="N31" s="66">
        <v>0.5</v>
      </c>
      <c r="O31" s="26"/>
      <c r="P31" s="25"/>
      <c r="Q31" s="58"/>
      <c r="R31" s="58"/>
      <c r="S31" s="58"/>
      <c r="T31" s="26"/>
      <c r="U31" s="25"/>
      <c r="V31" s="58"/>
      <c r="W31" s="58"/>
      <c r="X31" s="58"/>
      <c r="Y31" s="26"/>
      <c r="Z31" s="25"/>
      <c r="AA31" s="58"/>
      <c r="AB31" s="58"/>
      <c r="AC31" s="58"/>
      <c r="AD31" s="26"/>
      <c r="AE31" s="25"/>
      <c r="AF31" s="58"/>
      <c r="AG31" s="58"/>
      <c r="AH31" s="58"/>
      <c r="AI31" s="26"/>
      <c r="AJ31" s="25"/>
      <c r="AK31" s="58"/>
      <c r="AL31" s="58"/>
      <c r="AM31" s="58"/>
      <c r="AN31" s="26"/>
      <c r="AO31" s="25"/>
      <c r="AP31" s="58"/>
      <c r="AQ31" s="58"/>
      <c r="AR31" s="58"/>
      <c r="AS31" s="26"/>
      <c r="AT31" s="25"/>
      <c r="AU31" s="58"/>
      <c r="AV31" s="25"/>
      <c r="AW31" s="58"/>
      <c r="AX31" s="58"/>
      <c r="AY31" s="58"/>
      <c r="AZ31" s="26"/>
      <c r="BA31" s="25"/>
      <c r="BB31" s="26"/>
    </row>
    <row r="32" spans="1:54" ht="15" customHeight="1" x14ac:dyDescent="0.55000000000000004">
      <c r="A32" s="169"/>
      <c r="B32" s="171"/>
      <c r="C32" s="102"/>
      <c r="D32" s="102"/>
      <c r="E32" s="106"/>
      <c r="F32" s="27"/>
      <c r="G32" s="28"/>
      <c r="H32" s="28"/>
      <c r="I32" s="28"/>
      <c r="J32" s="29"/>
      <c r="K32" s="27"/>
      <c r="L32" s="28"/>
      <c r="M32" s="75"/>
      <c r="N32" s="28"/>
      <c r="O32" s="29"/>
      <c r="P32" s="27"/>
      <c r="Q32" s="28"/>
      <c r="R32" s="28"/>
      <c r="S32" s="28"/>
      <c r="T32" s="29"/>
      <c r="U32" s="27"/>
      <c r="V32" s="28"/>
      <c r="W32" s="28"/>
      <c r="X32" s="28"/>
      <c r="Y32" s="29"/>
      <c r="Z32" s="27"/>
      <c r="AA32" s="28"/>
      <c r="AB32" s="28"/>
      <c r="AC32" s="28"/>
      <c r="AD32" s="29"/>
      <c r="AE32" s="27"/>
      <c r="AF32" s="28"/>
      <c r="AG32" s="28"/>
      <c r="AH32" s="28"/>
      <c r="AI32" s="29"/>
      <c r="AJ32" s="27"/>
      <c r="AK32" s="28"/>
      <c r="AL32" s="28"/>
      <c r="AM32" s="28"/>
      <c r="AN32" s="29"/>
      <c r="AO32" s="27"/>
      <c r="AP32" s="28"/>
      <c r="AQ32" s="28"/>
      <c r="AR32" s="28"/>
      <c r="AS32" s="29"/>
      <c r="AT32" s="27"/>
      <c r="AU32" s="28"/>
      <c r="AV32" s="27"/>
      <c r="AW32" s="28"/>
      <c r="AX32" s="28"/>
      <c r="AY32" s="28"/>
      <c r="AZ32" s="29"/>
      <c r="BA32" s="27"/>
      <c r="BB32" s="29"/>
    </row>
    <row r="33" spans="1:54" ht="15" customHeight="1" x14ac:dyDescent="0.55000000000000004">
      <c r="A33" s="172" t="b">
        <v>0</v>
      </c>
      <c r="B33" s="173" t="s">
        <v>40</v>
      </c>
      <c r="C33" s="111">
        <f>SUM(F33:BB33)</f>
        <v>1</v>
      </c>
      <c r="D33" s="111">
        <f>SUM(F34:BB34)</f>
        <v>0</v>
      </c>
      <c r="E33" s="112">
        <f>(AVERAGE(C33,C34)-AVERAGE(D33,D34) )</f>
        <v>1</v>
      </c>
      <c r="F33" s="30"/>
      <c r="G33" s="31"/>
      <c r="H33" s="31"/>
      <c r="I33" s="31"/>
      <c r="J33" s="32"/>
      <c r="K33" s="30"/>
      <c r="L33" s="31"/>
      <c r="M33" s="31"/>
      <c r="N33" s="70">
        <v>1</v>
      </c>
      <c r="O33" s="32"/>
      <c r="P33" s="30"/>
      <c r="Q33" s="58"/>
      <c r="R33" s="58"/>
      <c r="S33" s="58"/>
      <c r="T33" s="26"/>
      <c r="U33" s="30"/>
      <c r="V33" s="31"/>
      <c r="W33" s="31"/>
      <c r="X33" s="31"/>
      <c r="Y33" s="32"/>
      <c r="Z33" s="30"/>
      <c r="AA33" s="31"/>
      <c r="AB33" s="31"/>
      <c r="AC33" s="31"/>
      <c r="AD33" s="32"/>
      <c r="AE33" s="30"/>
      <c r="AF33" s="31"/>
      <c r="AG33" s="31"/>
      <c r="AH33" s="31"/>
      <c r="AI33" s="32"/>
      <c r="AJ33" s="30"/>
      <c r="AK33" s="31"/>
      <c r="AL33" s="31"/>
      <c r="AM33" s="31"/>
      <c r="AN33" s="32"/>
      <c r="AO33" s="30"/>
      <c r="AP33" s="31"/>
      <c r="AQ33" s="31"/>
      <c r="AR33" s="31"/>
      <c r="AS33" s="32"/>
      <c r="AT33" s="30"/>
      <c r="AU33" s="31"/>
      <c r="AV33" s="30"/>
      <c r="AW33" s="31"/>
      <c r="AX33" s="31"/>
      <c r="AY33" s="31"/>
      <c r="AZ33" s="32"/>
      <c r="BA33" s="30"/>
      <c r="BB33" s="32"/>
    </row>
    <row r="34" spans="1:54" ht="15" customHeight="1" x14ac:dyDescent="0.55000000000000004">
      <c r="A34" s="169"/>
      <c r="B34" s="171"/>
      <c r="C34" s="102"/>
      <c r="D34" s="102"/>
      <c r="E34" s="106"/>
      <c r="F34" s="27"/>
      <c r="G34" s="28"/>
      <c r="H34" s="28"/>
      <c r="I34" s="28"/>
      <c r="J34" s="29"/>
      <c r="K34" s="27"/>
      <c r="L34" s="28"/>
      <c r="M34" s="28"/>
      <c r="N34" s="28"/>
      <c r="O34" s="29"/>
      <c r="P34" s="27"/>
      <c r="Q34" s="28"/>
      <c r="R34" s="28"/>
      <c r="S34" s="28"/>
      <c r="T34" s="29"/>
      <c r="U34" s="27"/>
      <c r="V34" s="28"/>
      <c r="W34" s="28"/>
      <c r="X34" s="28"/>
      <c r="Y34" s="29"/>
      <c r="Z34" s="27"/>
      <c r="AA34" s="28"/>
      <c r="AB34" s="28"/>
      <c r="AC34" s="28"/>
      <c r="AD34" s="29"/>
      <c r="AE34" s="27"/>
      <c r="AF34" s="28"/>
      <c r="AG34" s="28"/>
      <c r="AH34" s="28"/>
      <c r="AI34" s="29"/>
      <c r="AJ34" s="27"/>
      <c r="AK34" s="28"/>
      <c r="AL34" s="28"/>
      <c r="AM34" s="28"/>
      <c r="AN34" s="29"/>
      <c r="AO34" s="27"/>
      <c r="AP34" s="28"/>
      <c r="AQ34" s="28"/>
      <c r="AR34" s="28"/>
      <c r="AS34" s="29"/>
      <c r="AT34" s="27"/>
      <c r="AU34" s="28"/>
      <c r="AV34" s="27"/>
      <c r="AW34" s="28"/>
      <c r="AX34" s="28"/>
      <c r="AY34" s="28"/>
      <c r="AZ34" s="29"/>
      <c r="BA34" s="27"/>
      <c r="BB34" s="29"/>
    </row>
    <row r="35" spans="1:54" ht="15" customHeight="1" x14ac:dyDescent="0.55000000000000004">
      <c r="A35" s="172" t="b">
        <v>0</v>
      </c>
      <c r="B35" s="173" t="s">
        <v>36</v>
      </c>
      <c r="C35" s="111">
        <f>SUM(F35:BB35)</f>
        <v>2</v>
      </c>
      <c r="D35" s="111">
        <f>SUM(F36:BB36)</f>
        <v>0</v>
      </c>
      <c r="E35" s="112">
        <f t="shared" ref="E35" si="0">(AVERAGE(C35,C36)-AVERAGE(D35,D36) )</f>
        <v>2</v>
      </c>
      <c r="F35" s="30"/>
      <c r="G35" s="58"/>
      <c r="H35" s="31"/>
      <c r="I35" s="31"/>
      <c r="J35" s="32"/>
      <c r="K35" s="25"/>
      <c r="L35" s="31"/>
      <c r="M35" s="31"/>
      <c r="N35" s="31"/>
      <c r="O35" s="32"/>
      <c r="P35" s="64">
        <v>2</v>
      </c>
      <c r="Q35" s="31"/>
      <c r="R35" s="58"/>
      <c r="S35" s="58"/>
      <c r="T35" s="26"/>
      <c r="U35" s="30"/>
      <c r="V35" s="31"/>
      <c r="W35" s="31"/>
      <c r="X35" s="31"/>
      <c r="Y35" s="32"/>
      <c r="Z35" s="30"/>
      <c r="AA35" s="31"/>
      <c r="AB35" s="31"/>
      <c r="AC35" s="31"/>
      <c r="AD35" s="32"/>
      <c r="AE35" s="30"/>
      <c r="AF35" s="31"/>
      <c r="AG35" s="31"/>
      <c r="AH35" s="31"/>
      <c r="AI35" s="32"/>
      <c r="AJ35" s="30"/>
      <c r="AK35" s="31"/>
      <c r="AL35" s="31"/>
      <c r="AM35" s="31"/>
      <c r="AN35" s="32"/>
      <c r="AO35" s="30"/>
      <c r="AP35" s="31"/>
      <c r="AQ35" s="31"/>
      <c r="AR35" s="31"/>
      <c r="AS35" s="32"/>
      <c r="AT35" s="30"/>
      <c r="AU35" s="31"/>
      <c r="AV35" s="30"/>
      <c r="AW35" s="31"/>
      <c r="AX35" s="31"/>
      <c r="AY35" s="31"/>
      <c r="AZ35" s="32"/>
      <c r="BA35" s="30"/>
      <c r="BB35" s="32"/>
    </row>
    <row r="36" spans="1:54" ht="15" customHeight="1" x14ac:dyDescent="0.55000000000000004">
      <c r="A36" s="169"/>
      <c r="B36" s="171"/>
      <c r="C36" s="102"/>
      <c r="D36" s="102"/>
      <c r="E36" s="106"/>
      <c r="F36" s="27"/>
      <c r="G36" s="28"/>
      <c r="H36" s="28"/>
      <c r="I36" s="28"/>
      <c r="J36" s="29"/>
      <c r="K36" s="27"/>
      <c r="L36" s="28"/>
      <c r="M36" s="28"/>
      <c r="N36" s="28"/>
      <c r="O36" s="29"/>
      <c r="P36" s="27"/>
      <c r="Q36" s="28"/>
      <c r="R36" s="28"/>
      <c r="S36" s="28"/>
      <c r="T36" s="29"/>
      <c r="U36" s="27"/>
      <c r="V36" s="28"/>
      <c r="W36" s="28"/>
      <c r="X36" s="28"/>
      <c r="Y36" s="29"/>
      <c r="Z36" s="27"/>
      <c r="AA36" s="28"/>
      <c r="AB36" s="28"/>
      <c r="AC36" s="28"/>
      <c r="AD36" s="29"/>
      <c r="AE36" s="27"/>
      <c r="AF36" s="28"/>
      <c r="AG36" s="28"/>
      <c r="AH36" s="28"/>
      <c r="AI36" s="29"/>
      <c r="AJ36" s="27"/>
      <c r="AK36" s="28"/>
      <c r="AL36" s="28"/>
      <c r="AM36" s="28"/>
      <c r="AN36" s="29"/>
      <c r="AO36" s="27"/>
      <c r="AP36" s="28"/>
      <c r="AQ36" s="28"/>
      <c r="AR36" s="28"/>
      <c r="AS36" s="29"/>
      <c r="AT36" s="27"/>
      <c r="AU36" s="28"/>
      <c r="AV36" s="27"/>
      <c r="AW36" s="28"/>
      <c r="AX36" s="28"/>
      <c r="AY36" s="28"/>
      <c r="AZ36" s="29"/>
      <c r="BA36" s="27"/>
      <c r="BB36" s="29"/>
    </row>
    <row r="37" spans="1:54" ht="15" customHeight="1" x14ac:dyDescent="0.55000000000000004">
      <c r="A37" s="172" t="b">
        <v>0</v>
      </c>
      <c r="B37" s="173" t="s">
        <v>41</v>
      </c>
      <c r="C37" s="111">
        <f>SUM(F37:BB37)</f>
        <v>0.5</v>
      </c>
      <c r="D37" s="111">
        <f>SUM(F38:BB38)</f>
        <v>0</v>
      </c>
      <c r="E37" s="112">
        <f t="shared" ref="E37" si="1">(AVERAGE(C37,C38)-AVERAGE(D37,D38) )</f>
        <v>0.5</v>
      </c>
      <c r="F37" s="30"/>
      <c r="G37" s="31"/>
      <c r="H37" s="31"/>
      <c r="I37" s="31"/>
      <c r="J37" s="32"/>
      <c r="K37" s="30"/>
      <c r="L37" s="31"/>
      <c r="M37" s="31"/>
      <c r="N37" s="63"/>
      <c r="O37" s="32"/>
      <c r="P37" s="25"/>
      <c r="Q37" s="66">
        <v>0.5</v>
      </c>
      <c r="R37" s="58"/>
      <c r="S37" s="58"/>
      <c r="T37" s="26"/>
      <c r="U37" s="30"/>
      <c r="V37" s="31"/>
      <c r="W37" s="31"/>
      <c r="X37" s="31"/>
      <c r="Y37" s="32"/>
      <c r="Z37" s="30"/>
      <c r="AA37" s="31"/>
      <c r="AB37" s="31"/>
      <c r="AC37" s="31"/>
      <c r="AD37" s="32"/>
      <c r="AE37" s="30"/>
      <c r="AF37" s="31"/>
      <c r="AG37" s="31"/>
      <c r="AH37" s="31"/>
      <c r="AI37" s="32"/>
      <c r="AJ37" s="30"/>
      <c r="AK37" s="31"/>
      <c r="AL37" s="31"/>
      <c r="AM37" s="31"/>
      <c r="AN37" s="32"/>
      <c r="AO37" s="30"/>
      <c r="AP37" s="31"/>
      <c r="AQ37" s="31"/>
      <c r="AR37" s="31"/>
      <c r="AS37" s="32"/>
      <c r="AT37" s="30"/>
      <c r="AU37" s="31"/>
      <c r="AV37" s="30"/>
      <c r="AW37" s="31"/>
      <c r="AX37" s="31"/>
      <c r="AY37" s="31"/>
      <c r="AZ37" s="32"/>
      <c r="BA37" s="30"/>
      <c r="BB37" s="32"/>
    </row>
    <row r="38" spans="1:54" ht="15" customHeight="1" x14ac:dyDescent="0.55000000000000004">
      <c r="A38" s="169"/>
      <c r="B38" s="171"/>
      <c r="C38" s="102"/>
      <c r="D38" s="102"/>
      <c r="E38" s="106"/>
      <c r="F38" s="27"/>
      <c r="G38" s="28"/>
      <c r="H38" s="28"/>
      <c r="I38" s="28"/>
      <c r="J38" s="29"/>
      <c r="K38" s="27"/>
      <c r="L38" s="28"/>
      <c r="M38" s="28"/>
      <c r="N38" s="28"/>
      <c r="O38" s="29"/>
      <c r="P38" s="27"/>
      <c r="Q38" s="28"/>
      <c r="R38" s="28"/>
      <c r="S38" s="28"/>
      <c r="T38" s="29"/>
      <c r="U38" s="27"/>
      <c r="V38" s="28"/>
      <c r="W38" s="28"/>
      <c r="X38" s="28"/>
      <c r="Y38" s="29"/>
      <c r="Z38" s="27"/>
      <c r="AA38" s="28"/>
      <c r="AB38" s="28"/>
      <c r="AC38" s="28"/>
      <c r="AD38" s="29"/>
      <c r="AE38" s="27"/>
      <c r="AF38" s="28"/>
      <c r="AG38" s="28"/>
      <c r="AH38" s="28"/>
      <c r="AI38" s="29"/>
      <c r="AJ38" s="27"/>
      <c r="AK38" s="28"/>
      <c r="AL38" s="28"/>
      <c r="AM38" s="28"/>
      <c r="AN38" s="29"/>
      <c r="AO38" s="27"/>
      <c r="AP38" s="28"/>
      <c r="AQ38" s="28"/>
      <c r="AR38" s="28"/>
      <c r="AS38" s="29"/>
      <c r="AT38" s="27"/>
      <c r="AU38" s="28"/>
      <c r="AV38" s="27"/>
      <c r="AW38" s="28"/>
      <c r="AX38" s="28"/>
      <c r="AY38" s="28"/>
      <c r="AZ38" s="29"/>
      <c r="BA38" s="27"/>
      <c r="BB38" s="29"/>
    </row>
    <row r="39" spans="1:54" ht="13.5" customHeight="1" x14ac:dyDescent="0.55000000000000004">
      <c r="A39" s="172" t="b">
        <v>0</v>
      </c>
      <c r="B39" s="173" t="s">
        <v>53</v>
      </c>
      <c r="C39" s="111">
        <f>SUM(F39:BB39)</f>
        <v>2.5</v>
      </c>
      <c r="D39" s="111">
        <f>SUM(F40:BB40)</f>
        <v>0</v>
      </c>
      <c r="E39" s="112">
        <f t="shared" ref="E39" si="2">(AVERAGE(C39,C40)-AVERAGE(D39,D40) )</f>
        <v>2.5</v>
      </c>
      <c r="F39" s="30"/>
      <c r="G39" s="31"/>
      <c r="H39" s="31"/>
      <c r="I39" s="31"/>
      <c r="J39" s="32"/>
      <c r="K39" s="30"/>
      <c r="L39" s="31"/>
      <c r="M39" s="31"/>
      <c r="N39" s="31"/>
      <c r="O39" s="32"/>
      <c r="P39" s="25"/>
      <c r="Q39" s="66">
        <v>1</v>
      </c>
      <c r="R39" s="66">
        <v>1.5</v>
      </c>
      <c r="S39" s="31"/>
      <c r="T39" s="26"/>
      <c r="U39" s="30"/>
      <c r="V39" s="31"/>
      <c r="W39" s="31"/>
      <c r="X39" s="31"/>
      <c r="Y39" s="32"/>
      <c r="Z39" s="30"/>
      <c r="AA39" s="31"/>
      <c r="AB39" s="31"/>
      <c r="AC39" s="31"/>
      <c r="AD39" s="32"/>
      <c r="AE39" s="30"/>
      <c r="AF39" s="31"/>
      <c r="AG39" s="31"/>
      <c r="AH39" s="31"/>
      <c r="AI39" s="32"/>
      <c r="AJ39" s="30"/>
      <c r="AK39" s="31"/>
      <c r="AL39" s="31"/>
      <c r="AM39" s="31"/>
      <c r="AN39" s="32"/>
      <c r="AO39" s="30"/>
      <c r="AP39" s="31"/>
      <c r="AQ39" s="31"/>
      <c r="AR39" s="31"/>
      <c r="AS39" s="32"/>
      <c r="AT39" s="30"/>
      <c r="AU39" s="31"/>
      <c r="AV39" s="30"/>
      <c r="AW39" s="31"/>
      <c r="AX39" s="31"/>
      <c r="AY39" s="31"/>
      <c r="AZ39" s="32"/>
      <c r="BA39" s="30"/>
      <c r="BB39" s="32"/>
    </row>
    <row r="40" spans="1:54" ht="13.5" customHeight="1" thickBot="1" x14ac:dyDescent="0.6">
      <c r="A40" s="169"/>
      <c r="B40" s="171"/>
      <c r="C40" s="102"/>
      <c r="D40" s="102"/>
      <c r="E40" s="106"/>
      <c r="F40" s="27"/>
      <c r="G40" s="28"/>
      <c r="H40" s="28"/>
      <c r="I40" s="28"/>
      <c r="J40" s="29"/>
      <c r="K40" s="27"/>
      <c r="L40" s="28"/>
      <c r="M40" s="28"/>
      <c r="N40" s="28"/>
      <c r="O40" s="29"/>
      <c r="P40" s="27"/>
      <c r="Q40" s="28"/>
      <c r="R40" s="28"/>
      <c r="S40" s="28"/>
      <c r="T40" s="29"/>
      <c r="U40" s="27"/>
      <c r="V40" s="28"/>
      <c r="W40" s="28"/>
      <c r="X40" s="28"/>
      <c r="Y40" s="29"/>
      <c r="Z40" s="27"/>
      <c r="AA40" s="28"/>
      <c r="AB40" s="28"/>
      <c r="AC40" s="28"/>
      <c r="AD40" s="29"/>
      <c r="AE40" s="27"/>
      <c r="AF40" s="28"/>
      <c r="AG40" s="28"/>
      <c r="AH40" s="28"/>
      <c r="AI40" s="29"/>
      <c r="AJ40" s="27"/>
      <c r="AK40" s="28"/>
      <c r="AL40" s="28"/>
      <c r="AM40" s="28"/>
      <c r="AN40" s="29"/>
      <c r="AO40" s="27"/>
      <c r="AP40" s="28"/>
      <c r="AQ40" s="28"/>
      <c r="AR40" s="28"/>
      <c r="AS40" s="29"/>
      <c r="AT40" s="27"/>
      <c r="AU40" s="28"/>
      <c r="AV40" s="27"/>
      <c r="AW40" s="28"/>
      <c r="AX40" s="28"/>
      <c r="AY40" s="28"/>
      <c r="AZ40" s="29"/>
      <c r="BA40" s="27"/>
      <c r="BB40" s="29"/>
    </row>
    <row r="41" spans="1:54" ht="15" customHeight="1" x14ac:dyDescent="0.55000000000000004">
      <c r="A41" s="174" t="b">
        <v>0</v>
      </c>
      <c r="B41" s="176" t="s">
        <v>17</v>
      </c>
      <c r="C41" s="178">
        <f>SUM(C43:C48)</f>
        <v>4.5</v>
      </c>
      <c r="D41" s="178">
        <f>SUM(D43:D48)</f>
        <v>0</v>
      </c>
      <c r="E41" s="178">
        <f>(C41-D41)</f>
        <v>4.5</v>
      </c>
      <c r="F41" s="181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3"/>
    </row>
    <row r="42" spans="1:54" ht="15" customHeight="1" thickBot="1" x14ac:dyDescent="0.6">
      <c r="A42" s="175"/>
      <c r="B42" s="177"/>
      <c r="C42" s="179"/>
      <c r="D42" s="179"/>
      <c r="E42" s="180"/>
      <c r="F42" s="184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5"/>
      <c r="AU42" s="185"/>
      <c r="AV42" s="185"/>
      <c r="AW42" s="185"/>
      <c r="AX42" s="185"/>
      <c r="AY42" s="185"/>
      <c r="AZ42" s="185"/>
      <c r="BA42" s="185"/>
      <c r="BB42" s="186"/>
    </row>
    <row r="43" spans="1:54" ht="15" customHeight="1" x14ac:dyDescent="0.55000000000000004">
      <c r="A43" s="200" t="b">
        <v>0</v>
      </c>
      <c r="B43" s="202" t="s">
        <v>42</v>
      </c>
      <c r="C43" s="111">
        <f>SUM(F43:BB43)</f>
        <v>1</v>
      </c>
      <c r="D43" s="111">
        <f>SUM(F44:BB44)</f>
        <v>0</v>
      </c>
      <c r="E43" s="105">
        <f>(AVERAGE(C43,C44)-AVERAGE(D43,D44) )</f>
        <v>1</v>
      </c>
      <c r="F43" s="38"/>
      <c r="G43" s="39"/>
      <c r="H43" s="39"/>
      <c r="I43" s="39"/>
      <c r="J43" s="40"/>
      <c r="K43" s="38"/>
      <c r="L43" s="39"/>
      <c r="M43" s="39"/>
      <c r="N43" s="39"/>
      <c r="O43" s="40"/>
      <c r="P43" s="25"/>
      <c r="Q43" s="58"/>
      <c r="R43" s="58"/>
      <c r="S43" s="66">
        <v>1</v>
      </c>
      <c r="T43" s="26"/>
      <c r="U43" s="38"/>
      <c r="V43" s="39"/>
      <c r="W43" s="39"/>
      <c r="X43" s="39"/>
      <c r="Y43" s="40"/>
      <c r="Z43" s="38"/>
      <c r="AA43" s="39"/>
      <c r="AB43" s="39"/>
      <c r="AC43" s="39"/>
      <c r="AD43" s="40"/>
      <c r="AE43" s="38"/>
      <c r="AF43" s="39"/>
      <c r="AG43" s="39"/>
      <c r="AH43" s="39"/>
      <c r="AI43" s="40"/>
      <c r="AJ43" s="38"/>
      <c r="AK43" s="39"/>
      <c r="AL43" s="39"/>
      <c r="AM43" s="39"/>
      <c r="AN43" s="40"/>
      <c r="AO43" s="38"/>
      <c r="AP43" s="39"/>
      <c r="AQ43" s="39"/>
      <c r="AR43" s="39"/>
      <c r="AS43" s="40"/>
      <c r="AT43" s="38"/>
      <c r="AU43" s="39"/>
      <c r="AV43" s="38"/>
      <c r="AW43" s="39"/>
      <c r="AX43" s="39"/>
      <c r="AY43" s="39"/>
      <c r="AZ43" s="40"/>
      <c r="BA43" s="38"/>
      <c r="BB43" s="40"/>
    </row>
    <row r="44" spans="1:54" ht="15" customHeight="1" x14ac:dyDescent="0.55000000000000004">
      <c r="A44" s="201"/>
      <c r="B44" s="203"/>
      <c r="C44" s="102"/>
      <c r="D44" s="102"/>
      <c r="E44" s="106"/>
      <c r="F44" s="27"/>
      <c r="G44" s="28"/>
      <c r="H44" s="28"/>
      <c r="I44" s="28"/>
      <c r="J44" s="29"/>
      <c r="K44" s="27"/>
      <c r="L44" s="28"/>
      <c r="M44" s="28"/>
      <c r="N44" s="28"/>
      <c r="O44" s="29"/>
      <c r="P44" s="27"/>
      <c r="Q44" s="28"/>
      <c r="R44" s="28"/>
      <c r="S44" s="28"/>
      <c r="T44" s="29"/>
      <c r="U44" s="27"/>
      <c r="V44" s="28"/>
      <c r="W44" s="28"/>
      <c r="X44" s="28"/>
      <c r="Y44" s="29"/>
      <c r="Z44" s="27"/>
      <c r="AA44" s="28"/>
      <c r="AB44" s="28"/>
      <c r="AC44" s="28"/>
      <c r="AD44" s="29"/>
      <c r="AE44" s="27"/>
      <c r="AF44" s="28"/>
      <c r="AG44" s="28"/>
      <c r="AH44" s="28"/>
      <c r="AI44" s="29"/>
      <c r="AJ44" s="27"/>
      <c r="AK44" s="28"/>
      <c r="AL44" s="28"/>
      <c r="AM44" s="28"/>
      <c r="AN44" s="29"/>
      <c r="AO44" s="27"/>
      <c r="AP44" s="28"/>
      <c r="AQ44" s="28"/>
      <c r="AR44" s="28"/>
      <c r="AS44" s="29"/>
      <c r="AT44" s="27"/>
      <c r="AU44" s="28"/>
      <c r="AV44" s="27"/>
      <c r="AW44" s="28"/>
      <c r="AX44" s="28"/>
      <c r="AY44" s="28"/>
      <c r="AZ44" s="29"/>
      <c r="BA44" s="27"/>
      <c r="BB44" s="29"/>
    </row>
    <row r="45" spans="1:54" ht="15" customHeight="1" x14ac:dyDescent="0.55000000000000004">
      <c r="A45" s="204" t="b">
        <v>0</v>
      </c>
      <c r="B45" s="205" t="s">
        <v>44</v>
      </c>
      <c r="C45" s="111">
        <f>SUM(F45:BB45)</f>
        <v>1</v>
      </c>
      <c r="D45" s="111">
        <f>SUM(F46:BB46)</f>
        <v>0</v>
      </c>
      <c r="E45" s="112">
        <f>(AVERAGE(C45,C46)-AVERAGE(D45,D46) )</f>
        <v>1</v>
      </c>
      <c r="F45" s="30"/>
      <c r="G45" s="31"/>
      <c r="H45" s="31"/>
      <c r="I45" s="31"/>
      <c r="J45" s="32"/>
      <c r="K45" s="30"/>
      <c r="L45" s="31"/>
      <c r="M45" s="31"/>
      <c r="N45" s="31"/>
      <c r="O45" s="32"/>
      <c r="P45" s="25"/>
      <c r="Q45" s="58"/>
      <c r="R45" s="58"/>
      <c r="S45" s="58"/>
      <c r="T45" s="26"/>
      <c r="U45" s="71">
        <v>1</v>
      </c>
      <c r="V45" s="31"/>
      <c r="W45" s="31"/>
      <c r="X45" s="31"/>
      <c r="Y45" s="32"/>
      <c r="Z45" s="30"/>
      <c r="AA45" s="31"/>
      <c r="AB45" s="31"/>
      <c r="AC45" s="31"/>
      <c r="AD45" s="32"/>
      <c r="AE45" s="30"/>
      <c r="AF45" s="31"/>
      <c r="AG45" s="31"/>
      <c r="AH45" s="31"/>
      <c r="AI45" s="32"/>
      <c r="AJ45" s="30"/>
      <c r="AK45" s="31"/>
      <c r="AL45" s="31"/>
      <c r="AM45" s="31"/>
      <c r="AN45" s="32"/>
      <c r="AO45" s="30"/>
      <c r="AP45" s="31"/>
      <c r="AQ45" s="31"/>
      <c r="AR45" s="31"/>
      <c r="AS45" s="32"/>
      <c r="AT45" s="30"/>
      <c r="AU45" s="31"/>
      <c r="AV45" s="30"/>
      <c r="AW45" s="31"/>
      <c r="AX45" s="31"/>
      <c r="AY45" s="31"/>
      <c r="AZ45" s="32"/>
      <c r="BA45" s="30"/>
      <c r="BB45" s="32"/>
    </row>
    <row r="46" spans="1:54" ht="15" customHeight="1" thickBot="1" x14ac:dyDescent="0.6">
      <c r="A46" s="201"/>
      <c r="B46" s="203"/>
      <c r="C46" s="102"/>
      <c r="D46" s="102"/>
      <c r="E46" s="143"/>
      <c r="F46" s="27"/>
      <c r="G46" s="28"/>
      <c r="H46" s="28"/>
      <c r="I46" s="28"/>
      <c r="J46" s="29"/>
      <c r="K46" s="27"/>
      <c r="L46" s="28"/>
      <c r="M46" s="28"/>
      <c r="N46" s="28"/>
      <c r="O46" s="29"/>
      <c r="P46" s="27"/>
      <c r="Q46" s="28"/>
      <c r="R46" s="28"/>
      <c r="S46" s="28"/>
      <c r="T46" s="29"/>
      <c r="U46" s="27"/>
      <c r="V46" s="28"/>
      <c r="W46" s="28"/>
      <c r="X46" s="28"/>
      <c r="Y46" s="29"/>
      <c r="Z46" s="27"/>
      <c r="AA46" s="28"/>
      <c r="AB46" s="28"/>
      <c r="AC46" s="28"/>
      <c r="AD46" s="29"/>
      <c r="AE46" s="27"/>
      <c r="AF46" s="28"/>
      <c r="AG46" s="28"/>
      <c r="AH46" s="28"/>
      <c r="AI46" s="29"/>
      <c r="AJ46" s="27"/>
      <c r="AK46" s="28"/>
      <c r="AL46" s="28"/>
      <c r="AM46" s="28"/>
      <c r="AN46" s="29"/>
      <c r="AO46" s="27"/>
      <c r="AP46" s="28"/>
      <c r="AQ46" s="28"/>
      <c r="AR46" s="28"/>
      <c r="AS46" s="29"/>
      <c r="AT46" s="27"/>
      <c r="AU46" s="28"/>
      <c r="AV46" s="27"/>
      <c r="AW46" s="28"/>
      <c r="AX46" s="28"/>
      <c r="AY46" s="28"/>
      <c r="AZ46" s="29"/>
      <c r="BA46" s="27"/>
      <c r="BB46" s="29"/>
    </row>
    <row r="47" spans="1:54" ht="15" customHeight="1" x14ac:dyDescent="0.55000000000000004">
      <c r="A47" s="204" t="b">
        <v>0</v>
      </c>
      <c r="B47" s="205" t="s">
        <v>43</v>
      </c>
      <c r="C47" s="111">
        <f>SUM(F47:BB47)</f>
        <v>2.5</v>
      </c>
      <c r="D47" s="111">
        <f>SUM(F48:BB48)</f>
        <v>0</v>
      </c>
      <c r="E47" s="112">
        <f>(AVERAGE(C47,C48)-AVERAGE(D47,D48) )</f>
        <v>2.5</v>
      </c>
      <c r="F47" s="30"/>
      <c r="G47" s="31"/>
      <c r="H47" s="31"/>
      <c r="I47" s="31"/>
      <c r="J47" s="32"/>
      <c r="K47" s="30"/>
      <c r="L47" s="31"/>
      <c r="M47" s="31"/>
      <c r="N47" s="31"/>
      <c r="O47" s="32"/>
      <c r="P47" s="25"/>
      <c r="Q47" s="58"/>
      <c r="R47" s="58"/>
      <c r="S47" s="58"/>
      <c r="T47" s="26"/>
      <c r="U47" s="71">
        <v>1</v>
      </c>
      <c r="V47" s="70">
        <v>1.5</v>
      </c>
      <c r="W47" s="31"/>
      <c r="X47" s="31"/>
      <c r="Y47" s="32"/>
      <c r="Z47" s="30"/>
      <c r="AA47" s="31"/>
      <c r="AB47" s="31"/>
      <c r="AC47" s="31"/>
      <c r="AD47" s="32"/>
      <c r="AE47" s="30"/>
      <c r="AF47" s="31"/>
      <c r="AG47" s="31"/>
      <c r="AH47" s="31"/>
      <c r="AI47" s="32"/>
      <c r="AJ47" s="30"/>
      <c r="AK47" s="31"/>
      <c r="AL47" s="31"/>
      <c r="AM47" s="31"/>
      <c r="AN47" s="32"/>
      <c r="AO47" s="30"/>
      <c r="AP47" s="31"/>
      <c r="AQ47" s="31"/>
      <c r="AR47" s="31"/>
      <c r="AS47" s="32"/>
      <c r="AT47" s="30"/>
      <c r="AU47" s="31"/>
      <c r="AV47" s="30"/>
      <c r="AW47" s="31"/>
      <c r="AX47" s="31"/>
      <c r="AY47" s="31"/>
      <c r="AZ47" s="32"/>
      <c r="BA47" s="30"/>
      <c r="BB47" s="32"/>
    </row>
    <row r="48" spans="1:54" ht="15" customHeight="1" thickBot="1" x14ac:dyDescent="0.6">
      <c r="A48" s="201"/>
      <c r="B48" s="203"/>
      <c r="C48" s="102"/>
      <c r="D48" s="102"/>
      <c r="E48" s="143"/>
      <c r="F48" s="27"/>
      <c r="G48" s="28"/>
      <c r="H48" s="28"/>
      <c r="I48" s="28"/>
      <c r="J48" s="29"/>
      <c r="K48" s="27"/>
      <c r="L48" s="28"/>
      <c r="M48" s="28"/>
      <c r="N48" s="28"/>
      <c r="O48" s="29"/>
      <c r="P48" s="27"/>
      <c r="Q48" s="28"/>
      <c r="R48" s="28"/>
      <c r="S48" s="28"/>
      <c r="T48" s="29"/>
      <c r="U48" s="27"/>
      <c r="V48" s="28"/>
      <c r="W48" s="28"/>
      <c r="X48" s="28"/>
      <c r="Y48" s="29"/>
      <c r="Z48" s="27"/>
      <c r="AA48" s="28"/>
      <c r="AB48" s="28"/>
      <c r="AC48" s="28"/>
      <c r="AD48" s="29"/>
      <c r="AE48" s="27"/>
      <c r="AF48" s="28"/>
      <c r="AG48" s="28"/>
      <c r="AH48" s="28"/>
      <c r="AI48" s="29"/>
      <c r="AJ48" s="27"/>
      <c r="AK48" s="28"/>
      <c r="AL48" s="28"/>
      <c r="AM48" s="28"/>
      <c r="AN48" s="29"/>
      <c r="AO48" s="27"/>
      <c r="AP48" s="28"/>
      <c r="AQ48" s="28"/>
      <c r="AR48" s="28"/>
      <c r="AS48" s="29"/>
      <c r="AT48" s="27"/>
      <c r="AU48" s="28"/>
      <c r="AV48" s="27"/>
      <c r="AW48" s="28"/>
      <c r="AX48" s="28"/>
      <c r="AY48" s="28"/>
      <c r="AZ48" s="29"/>
      <c r="BA48" s="27"/>
      <c r="BB48" s="29"/>
    </row>
    <row r="49" spans="1:54" ht="15" customHeight="1" x14ac:dyDescent="0.55000000000000004">
      <c r="A49" s="187" t="b">
        <v>0</v>
      </c>
      <c r="B49" s="189" t="s">
        <v>18</v>
      </c>
      <c r="C49" s="191">
        <f>SUM(C51:C66)</f>
        <v>23</v>
      </c>
      <c r="D49" s="191">
        <f>SUM(D51:D66)</f>
        <v>0</v>
      </c>
      <c r="E49" s="191">
        <f>(C49-D49)</f>
        <v>23</v>
      </c>
      <c r="F49" s="194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195"/>
      <c r="AY49" s="195"/>
      <c r="AZ49" s="195"/>
      <c r="BA49" s="195"/>
      <c r="BB49" s="196"/>
    </row>
    <row r="50" spans="1:54" ht="15" customHeight="1" thickBot="1" x14ac:dyDescent="0.6">
      <c r="A50" s="188"/>
      <c r="B50" s="190"/>
      <c r="C50" s="192"/>
      <c r="D50" s="192"/>
      <c r="E50" s="193"/>
      <c r="F50" s="197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  <c r="AM50" s="198"/>
      <c r="AN50" s="198"/>
      <c r="AO50" s="198"/>
      <c r="AP50" s="198"/>
      <c r="AQ50" s="198"/>
      <c r="AR50" s="198"/>
      <c r="AS50" s="198"/>
      <c r="AT50" s="198"/>
      <c r="AU50" s="198"/>
      <c r="AV50" s="198"/>
      <c r="AW50" s="198"/>
      <c r="AX50" s="198"/>
      <c r="AY50" s="198"/>
      <c r="AZ50" s="198"/>
      <c r="BA50" s="198"/>
      <c r="BB50" s="199"/>
    </row>
    <row r="51" spans="1:54" ht="15" customHeight="1" x14ac:dyDescent="0.55000000000000004">
      <c r="A51" s="206" t="b">
        <v>0</v>
      </c>
      <c r="B51" s="208" t="s">
        <v>55</v>
      </c>
      <c r="C51" s="111">
        <f>SUM(F51:BB51)</f>
        <v>3</v>
      </c>
      <c r="D51" s="111">
        <f>SUM(F52:BB52)</f>
        <v>0</v>
      </c>
      <c r="E51" s="105">
        <f>(AVERAGE(C51,C52)-AVERAGE(D51,D52) )</f>
        <v>3</v>
      </c>
      <c r="F51" s="38"/>
      <c r="G51" s="39"/>
      <c r="H51" s="39"/>
      <c r="I51" s="39"/>
      <c r="J51" s="40"/>
      <c r="K51" s="38"/>
      <c r="L51" s="39"/>
      <c r="M51" s="39"/>
      <c r="N51" s="39"/>
      <c r="O51" s="40"/>
      <c r="P51" s="25"/>
      <c r="Q51" s="58"/>
      <c r="R51" s="58"/>
      <c r="S51" s="58"/>
      <c r="T51" s="26"/>
      <c r="U51" s="38"/>
      <c r="V51" s="39"/>
      <c r="W51" s="72">
        <v>1.5</v>
      </c>
      <c r="X51" s="72">
        <v>1</v>
      </c>
      <c r="Y51" s="40"/>
      <c r="Z51" s="73">
        <v>0.5</v>
      </c>
      <c r="AA51" s="39"/>
      <c r="AB51" s="39"/>
      <c r="AC51" s="39"/>
      <c r="AD51" s="40"/>
      <c r="AE51" s="38"/>
      <c r="AF51" s="39"/>
      <c r="AG51" s="39"/>
      <c r="AH51" s="39"/>
      <c r="AI51" s="40"/>
      <c r="AJ51" s="38"/>
      <c r="AK51" s="39"/>
      <c r="AL51" s="39"/>
      <c r="AM51" s="39"/>
      <c r="AN51" s="40"/>
      <c r="AO51" s="38"/>
      <c r="AP51" s="39"/>
      <c r="AQ51" s="39"/>
      <c r="AR51" s="39"/>
      <c r="AS51" s="40"/>
      <c r="AT51" s="38"/>
      <c r="AU51" s="39"/>
      <c r="AV51" s="38"/>
      <c r="AW51" s="39"/>
      <c r="AX51" s="39"/>
      <c r="AY51" s="39"/>
      <c r="AZ51" s="40"/>
      <c r="BA51" s="38"/>
      <c r="BB51" s="40"/>
    </row>
    <row r="52" spans="1:54" ht="15" customHeight="1" x14ac:dyDescent="0.55000000000000004">
      <c r="A52" s="207"/>
      <c r="B52" s="209"/>
      <c r="C52" s="102"/>
      <c r="D52" s="102"/>
      <c r="E52" s="106"/>
      <c r="F52" s="27"/>
      <c r="G52" s="28"/>
      <c r="H52" s="28"/>
      <c r="I52" s="28"/>
      <c r="J52" s="29"/>
      <c r="K52" s="27"/>
      <c r="L52" s="28"/>
      <c r="M52" s="28"/>
      <c r="N52" s="28"/>
      <c r="O52" s="29"/>
      <c r="P52" s="27"/>
      <c r="Q52" s="28"/>
      <c r="R52" s="28"/>
      <c r="S52" s="28"/>
      <c r="T52" s="29"/>
      <c r="U52" s="27"/>
      <c r="V52" s="28"/>
      <c r="W52" s="28"/>
      <c r="X52" s="28"/>
      <c r="Y52" s="29"/>
      <c r="Z52" s="27"/>
      <c r="AA52" s="28"/>
      <c r="AB52" s="28"/>
      <c r="AC52" s="28"/>
      <c r="AD52" s="29"/>
      <c r="AE52" s="27"/>
      <c r="AF52" s="28"/>
      <c r="AG52" s="28"/>
      <c r="AH52" s="28"/>
      <c r="AI52" s="29"/>
      <c r="AJ52" s="27"/>
      <c r="AK52" s="28"/>
      <c r="AL52" s="28"/>
      <c r="AM52" s="28"/>
      <c r="AN52" s="29"/>
      <c r="AO52" s="27"/>
      <c r="AP52" s="28"/>
      <c r="AQ52" s="28"/>
      <c r="AR52" s="28"/>
      <c r="AS52" s="29"/>
      <c r="AT52" s="27"/>
      <c r="AU52" s="28"/>
      <c r="AV52" s="27"/>
      <c r="AW52" s="28"/>
      <c r="AX52" s="28"/>
      <c r="AY52" s="28"/>
      <c r="AZ52" s="29"/>
      <c r="BA52" s="27"/>
      <c r="BB52" s="29"/>
    </row>
    <row r="53" spans="1:54" ht="15" customHeight="1" x14ac:dyDescent="0.55000000000000004">
      <c r="A53" s="210" t="b">
        <v>0</v>
      </c>
      <c r="B53" s="208" t="s">
        <v>56</v>
      </c>
      <c r="C53" s="111">
        <f>SUM(F53:BB53)</f>
        <v>1.5</v>
      </c>
      <c r="D53" s="111">
        <f>SUM(F54:BB54)</f>
        <v>0</v>
      </c>
      <c r="E53" s="112">
        <f t="shared" ref="E53:E65" si="3">(AVERAGE(C53,C54)-AVERAGE(D53,D54) )</f>
        <v>1.5</v>
      </c>
      <c r="F53" s="30"/>
      <c r="G53" s="31"/>
      <c r="H53" s="31"/>
      <c r="I53" s="31"/>
      <c r="J53" s="32"/>
      <c r="K53" s="30"/>
      <c r="L53" s="31"/>
      <c r="M53" s="31"/>
      <c r="N53" s="31"/>
      <c r="O53" s="32"/>
      <c r="P53" s="25"/>
      <c r="Q53" s="58"/>
      <c r="R53" s="58"/>
      <c r="S53" s="58"/>
      <c r="T53" s="26"/>
      <c r="U53" s="30"/>
      <c r="V53" s="31"/>
      <c r="W53" s="63"/>
      <c r="X53" s="31"/>
      <c r="Y53" s="32"/>
      <c r="Z53" s="71">
        <v>1.5</v>
      </c>
      <c r="AA53" s="31"/>
      <c r="AB53" s="63"/>
      <c r="AC53" s="31"/>
      <c r="AD53" s="32"/>
      <c r="AE53" s="30"/>
      <c r="AF53" s="31"/>
      <c r="AG53" s="31"/>
      <c r="AH53" s="31"/>
      <c r="AI53" s="32"/>
      <c r="AJ53" s="30"/>
      <c r="AK53" s="31"/>
      <c r="AL53" s="31"/>
      <c r="AM53" s="31"/>
      <c r="AN53" s="32"/>
      <c r="AO53" s="30"/>
      <c r="AP53" s="31"/>
      <c r="AQ53" s="31"/>
      <c r="AR53" s="31"/>
      <c r="AS53" s="32"/>
      <c r="AT53" s="30"/>
      <c r="AU53" s="31"/>
      <c r="AV53" s="30"/>
      <c r="AW53" s="31"/>
      <c r="AX53" s="31"/>
      <c r="AY53" s="31"/>
      <c r="AZ53" s="32"/>
      <c r="BA53" s="30"/>
      <c r="BB53" s="32"/>
    </row>
    <row r="54" spans="1:54" ht="15" customHeight="1" x14ac:dyDescent="0.55000000000000004">
      <c r="A54" s="207"/>
      <c r="B54" s="209"/>
      <c r="C54" s="102"/>
      <c r="D54" s="102"/>
      <c r="E54" s="106"/>
      <c r="F54" s="27"/>
      <c r="G54" s="28"/>
      <c r="H54" s="28"/>
      <c r="I54" s="28"/>
      <c r="J54" s="29"/>
      <c r="K54" s="27"/>
      <c r="L54" s="28"/>
      <c r="M54" s="28"/>
      <c r="N54" s="28"/>
      <c r="O54" s="29"/>
      <c r="P54" s="27"/>
      <c r="Q54" s="28"/>
      <c r="R54" s="28"/>
      <c r="S54" s="28"/>
      <c r="T54" s="29"/>
      <c r="U54" s="27"/>
      <c r="V54" s="28"/>
      <c r="W54" s="63"/>
      <c r="X54" s="28"/>
      <c r="Y54" s="29"/>
      <c r="Z54" s="27"/>
      <c r="AA54" s="28"/>
      <c r="AB54" s="63"/>
      <c r="AC54" s="28"/>
      <c r="AD54" s="29"/>
      <c r="AE54" s="27"/>
      <c r="AF54" s="28"/>
      <c r="AG54" s="28"/>
      <c r="AH54" s="28"/>
      <c r="AI54" s="29"/>
      <c r="AJ54" s="27"/>
      <c r="AK54" s="28"/>
      <c r="AL54" s="28"/>
      <c r="AM54" s="28"/>
      <c r="AN54" s="29"/>
      <c r="AO54" s="27"/>
      <c r="AP54" s="28"/>
      <c r="AQ54" s="28"/>
      <c r="AR54" s="28"/>
      <c r="AS54" s="29"/>
      <c r="AT54" s="27"/>
      <c r="AU54" s="28"/>
      <c r="AV54" s="27"/>
      <c r="AW54" s="28"/>
      <c r="AX54" s="28"/>
      <c r="AY54" s="28"/>
      <c r="AZ54" s="29"/>
      <c r="BA54" s="27"/>
      <c r="BB54" s="29"/>
    </row>
    <row r="55" spans="1:54" ht="15" customHeight="1" x14ac:dyDescent="0.55000000000000004">
      <c r="A55" s="210" t="b">
        <v>0</v>
      </c>
      <c r="B55" s="208" t="s">
        <v>58</v>
      </c>
      <c r="C55" s="111">
        <f>SUM(F55:BB55)</f>
        <v>1.5</v>
      </c>
      <c r="D55" s="111">
        <f>SUM(F56:BB56)</f>
        <v>0</v>
      </c>
      <c r="E55" s="112">
        <f t="shared" si="3"/>
        <v>1.5</v>
      </c>
      <c r="F55" s="30"/>
      <c r="G55" s="31"/>
      <c r="H55" s="31"/>
      <c r="I55" s="31"/>
      <c r="J55" s="32"/>
      <c r="K55" s="30"/>
      <c r="L55" s="31"/>
      <c r="M55" s="31"/>
      <c r="N55" s="31"/>
      <c r="O55" s="31"/>
      <c r="P55" s="25"/>
      <c r="Q55" s="58"/>
      <c r="R55" s="58"/>
      <c r="S55" s="58"/>
      <c r="T55" s="26"/>
      <c r="U55" s="30"/>
      <c r="V55" s="31"/>
      <c r="W55" s="31"/>
      <c r="X55" s="63"/>
      <c r="Y55" s="32"/>
      <c r="Z55" s="31"/>
      <c r="AA55" s="70">
        <v>1.5</v>
      </c>
      <c r="AB55" s="31"/>
      <c r="AC55" s="31"/>
      <c r="AD55" s="32"/>
      <c r="AE55" s="30"/>
      <c r="AF55" s="31"/>
      <c r="AG55" s="31"/>
      <c r="AH55" s="31"/>
      <c r="AI55" s="32"/>
      <c r="AJ55" s="30"/>
      <c r="AK55" s="31"/>
      <c r="AL55" s="31"/>
      <c r="AM55" s="31"/>
      <c r="AN55" s="32"/>
      <c r="AO55" s="30"/>
      <c r="AP55" s="31"/>
      <c r="AQ55" s="31"/>
      <c r="AR55" s="31"/>
      <c r="AS55" s="32"/>
      <c r="AT55" s="30"/>
      <c r="AU55" s="31"/>
      <c r="AV55" s="30"/>
      <c r="AW55" s="31"/>
      <c r="AX55" s="31"/>
      <c r="AY55" s="31"/>
      <c r="AZ55" s="32"/>
      <c r="BA55" s="30"/>
      <c r="BB55" s="32"/>
    </row>
    <row r="56" spans="1:54" ht="15" customHeight="1" x14ac:dyDescent="0.55000000000000004">
      <c r="A56" s="207"/>
      <c r="B56" s="209"/>
      <c r="C56" s="102"/>
      <c r="D56" s="102"/>
      <c r="E56" s="106"/>
      <c r="F56" s="27"/>
      <c r="G56" s="28"/>
      <c r="H56" s="28"/>
      <c r="I56" s="28"/>
      <c r="J56" s="29"/>
      <c r="K56" s="27"/>
      <c r="L56" s="28"/>
      <c r="M56" s="28"/>
      <c r="N56" s="28"/>
      <c r="O56" s="29"/>
      <c r="P56" s="27"/>
      <c r="Q56" s="28"/>
      <c r="R56" s="28"/>
      <c r="S56" s="28"/>
      <c r="T56" s="29"/>
      <c r="U56" s="27"/>
      <c r="V56" s="28"/>
      <c r="W56" s="28"/>
      <c r="X56" s="63"/>
      <c r="Y56" s="29"/>
      <c r="Z56" s="28"/>
      <c r="AA56" s="28"/>
      <c r="AB56" s="28"/>
      <c r="AC56" s="28"/>
      <c r="AD56" s="29"/>
      <c r="AE56" s="27"/>
      <c r="AF56" s="28"/>
      <c r="AG56" s="28"/>
      <c r="AH56" s="28"/>
      <c r="AI56" s="29"/>
      <c r="AJ56" s="27"/>
      <c r="AK56" s="28"/>
      <c r="AL56" s="28"/>
      <c r="AM56" s="28"/>
      <c r="AN56" s="29"/>
      <c r="AO56" s="27"/>
      <c r="AP56" s="28"/>
      <c r="AQ56" s="28"/>
      <c r="AR56" s="28"/>
      <c r="AS56" s="29"/>
      <c r="AT56" s="27"/>
      <c r="AU56" s="28"/>
      <c r="AV56" s="27"/>
      <c r="AW56" s="28"/>
      <c r="AX56" s="28"/>
      <c r="AY56" s="28"/>
      <c r="AZ56" s="29"/>
      <c r="BA56" s="27"/>
      <c r="BB56" s="29"/>
    </row>
    <row r="57" spans="1:54" ht="15" customHeight="1" x14ac:dyDescent="0.55000000000000004">
      <c r="A57" s="210" t="b">
        <v>0</v>
      </c>
      <c r="B57" s="208" t="s">
        <v>57</v>
      </c>
      <c r="C57" s="111">
        <f>SUM(F57:BB57)</f>
        <v>5.5</v>
      </c>
      <c r="D57" s="111">
        <f>SUM(F58:BB58)</f>
        <v>0</v>
      </c>
      <c r="E57" s="112">
        <f t="shared" si="3"/>
        <v>5.5</v>
      </c>
      <c r="F57" s="30"/>
      <c r="G57" s="31"/>
      <c r="H57" s="31"/>
      <c r="I57" s="31"/>
      <c r="J57" s="32"/>
      <c r="K57" s="30"/>
      <c r="L57" s="31"/>
      <c r="M57" s="31"/>
      <c r="N57" s="31"/>
      <c r="O57" s="32"/>
      <c r="P57" s="25"/>
      <c r="Q57" s="58"/>
      <c r="R57" s="58"/>
      <c r="S57" s="58"/>
      <c r="T57" s="26"/>
      <c r="U57" s="30"/>
      <c r="V57" s="31"/>
      <c r="W57" s="31"/>
      <c r="X57" s="31"/>
      <c r="Y57" s="32"/>
      <c r="Z57" s="30"/>
      <c r="AA57" s="31"/>
      <c r="AB57" s="70">
        <v>1.5</v>
      </c>
      <c r="AC57" s="70">
        <v>1</v>
      </c>
      <c r="AD57" s="74">
        <v>0.5</v>
      </c>
      <c r="AE57" s="71">
        <v>1</v>
      </c>
      <c r="AF57" s="70">
        <v>1</v>
      </c>
      <c r="AG57" s="31"/>
      <c r="AH57" s="31"/>
      <c r="AI57" s="74">
        <v>0.5</v>
      </c>
      <c r="AJ57" s="30"/>
      <c r="AK57" s="31"/>
      <c r="AL57" s="31"/>
      <c r="AM57" s="31"/>
      <c r="AN57" s="32"/>
      <c r="AO57" s="30"/>
      <c r="AP57" s="31"/>
      <c r="AQ57" s="31"/>
      <c r="AR57" s="31"/>
      <c r="AS57" s="32"/>
      <c r="AT57" s="30"/>
      <c r="AU57" s="31"/>
      <c r="AV57" s="30"/>
      <c r="AW57" s="31"/>
      <c r="AX57" s="31"/>
      <c r="AY57" s="31"/>
      <c r="AZ57" s="32"/>
      <c r="BA57" s="30"/>
      <c r="BB57" s="32"/>
    </row>
    <row r="58" spans="1:54" ht="15" customHeight="1" x14ac:dyDescent="0.55000000000000004">
      <c r="A58" s="207"/>
      <c r="B58" s="209"/>
      <c r="C58" s="102"/>
      <c r="D58" s="102"/>
      <c r="E58" s="106"/>
      <c r="F58" s="27"/>
      <c r="G58" s="28"/>
      <c r="H58" s="28"/>
      <c r="I58" s="28"/>
      <c r="J58" s="29"/>
      <c r="K58" s="27"/>
      <c r="L58" s="28"/>
      <c r="M58" s="28"/>
      <c r="N58" s="28"/>
      <c r="O58" s="29"/>
      <c r="P58" s="27"/>
      <c r="Q58" s="28"/>
      <c r="R58" s="28"/>
      <c r="S58" s="28"/>
      <c r="T58" s="29"/>
      <c r="U58" s="27"/>
      <c r="V58" s="28"/>
      <c r="W58" s="28"/>
      <c r="X58" s="28"/>
      <c r="Y58" s="29"/>
      <c r="Z58" s="27"/>
      <c r="AA58" s="28"/>
      <c r="AB58" s="28"/>
      <c r="AC58" s="28"/>
      <c r="AD58" s="29"/>
      <c r="AE58" s="27"/>
      <c r="AF58" s="28"/>
      <c r="AG58" s="28"/>
      <c r="AH58" s="28"/>
      <c r="AI58" s="29"/>
      <c r="AJ58" s="27"/>
      <c r="AK58" s="28"/>
      <c r="AL58" s="28"/>
      <c r="AM58" s="28"/>
      <c r="AN58" s="29"/>
      <c r="AO58" s="27"/>
      <c r="AP58" s="28"/>
      <c r="AQ58" s="28"/>
      <c r="AR58" s="28"/>
      <c r="AS58" s="29"/>
      <c r="AT58" s="27"/>
      <c r="AU58" s="28"/>
      <c r="AV58" s="27"/>
      <c r="AW58" s="28"/>
      <c r="AX58" s="28"/>
      <c r="AY58" s="28"/>
      <c r="AZ58" s="29"/>
      <c r="BA58" s="27"/>
      <c r="BB58" s="29"/>
    </row>
    <row r="59" spans="1:54" ht="15" customHeight="1" x14ac:dyDescent="0.55000000000000004">
      <c r="A59" s="210" t="b">
        <v>0</v>
      </c>
      <c r="B59" s="208" t="s">
        <v>59</v>
      </c>
      <c r="C59" s="111">
        <f>SUM(F59:BB59)</f>
        <v>4</v>
      </c>
      <c r="D59" s="111">
        <f>SUM(F60:BB60)</f>
        <v>0</v>
      </c>
      <c r="E59" s="112">
        <f t="shared" si="3"/>
        <v>4</v>
      </c>
      <c r="F59" s="30"/>
      <c r="G59" s="31"/>
      <c r="H59" s="31"/>
      <c r="I59" s="31"/>
      <c r="J59" s="32"/>
      <c r="K59" s="30"/>
      <c r="L59" s="31"/>
      <c r="M59" s="31"/>
      <c r="N59" s="31"/>
      <c r="O59" s="32"/>
      <c r="P59" s="25"/>
      <c r="Q59" s="58"/>
      <c r="R59" s="58"/>
      <c r="S59" s="58"/>
      <c r="T59" s="26"/>
      <c r="U59" s="30"/>
      <c r="V59" s="31"/>
      <c r="W59" s="31"/>
      <c r="X59" s="31"/>
      <c r="Y59" s="32"/>
      <c r="Z59" s="30"/>
      <c r="AA59" s="63"/>
      <c r="AB59" s="63"/>
      <c r="AC59" s="31"/>
      <c r="AD59" s="32"/>
      <c r="AE59" s="31"/>
      <c r="AF59" s="70">
        <v>0.5</v>
      </c>
      <c r="AG59" s="70">
        <v>1.5</v>
      </c>
      <c r="AH59" s="70">
        <v>1.5</v>
      </c>
      <c r="AI59" s="74">
        <v>0.5</v>
      </c>
      <c r="AJ59" s="30"/>
      <c r="AK59" s="31"/>
      <c r="AL59" s="31"/>
      <c r="AM59" s="31"/>
      <c r="AN59" s="32"/>
      <c r="AO59" s="30"/>
      <c r="AP59" s="31"/>
      <c r="AQ59" s="31"/>
      <c r="AR59" s="31"/>
      <c r="AS59" s="32"/>
      <c r="AT59" s="30"/>
      <c r="AU59" s="31"/>
      <c r="AV59" s="30"/>
      <c r="AW59" s="31"/>
      <c r="AX59" s="31"/>
      <c r="AY59" s="31"/>
      <c r="AZ59" s="32"/>
      <c r="BA59" s="30"/>
      <c r="BB59" s="32"/>
    </row>
    <row r="60" spans="1:54" ht="15" customHeight="1" x14ac:dyDescent="0.55000000000000004">
      <c r="A60" s="207"/>
      <c r="B60" s="209"/>
      <c r="C60" s="102"/>
      <c r="D60" s="102"/>
      <c r="E60" s="106"/>
      <c r="F60" s="27"/>
      <c r="G60" s="28"/>
      <c r="H60" s="28"/>
      <c r="I60" s="28"/>
      <c r="J60" s="29"/>
      <c r="K60" s="27"/>
      <c r="L60" s="28"/>
      <c r="M60" s="28"/>
      <c r="N60" s="28"/>
      <c r="O60" s="29"/>
      <c r="P60" s="27"/>
      <c r="Q60" s="28"/>
      <c r="R60" s="28"/>
      <c r="S60" s="28"/>
      <c r="T60" s="29"/>
      <c r="U60" s="27"/>
      <c r="V60" s="28"/>
      <c r="W60" s="28"/>
      <c r="X60" s="28"/>
      <c r="Y60" s="29"/>
      <c r="Z60" s="63"/>
      <c r="AA60" s="63"/>
      <c r="AB60" s="63"/>
      <c r="AC60" s="28"/>
      <c r="AD60" s="29"/>
      <c r="AE60" s="28"/>
      <c r="AF60" s="28"/>
      <c r="AG60" s="28"/>
      <c r="AH60" s="28"/>
      <c r="AI60" s="29"/>
      <c r="AJ60" s="27"/>
      <c r="AK60" s="28"/>
      <c r="AL60" s="28"/>
      <c r="AM60" s="28"/>
      <c r="AN60" s="29"/>
      <c r="AO60" s="27"/>
      <c r="AP60" s="28"/>
      <c r="AQ60" s="28"/>
      <c r="AR60" s="28"/>
      <c r="AS60" s="29"/>
      <c r="AT60" s="27"/>
      <c r="AU60" s="28"/>
      <c r="AV60" s="27"/>
      <c r="AW60" s="28"/>
      <c r="AX60" s="28"/>
      <c r="AY60" s="28"/>
      <c r="AZ60" s="29"/>
      <c r="BA60" s="27"/>
      <c r="BB60" s="29"/>
    </row>
    <row r="61" spans="1:54" ht="15" customHeight="1" x14ac:dyDescent="0.55000000000000004">
      <c r="A61" s="210" t="b">
        <v>0</v>
      </c>
      <c r="B61" s="208" t="s">
        <v>60</v>
      </c>
      <c r="C61" s="111">
        <f>SUM(F61:BB61)</f>
        <v>1.5</v>
      </c>
      <c r="D61" s="111">
        <f>SUM(F62:BB62)</f>
        <v>0</v>
      </c>
      <c r="E61" s="112">
        <f t="shared" si="3"/>
        <v>1.5</v>
      </c>
      <c r="F61" s="30"/>
      <c r="G61" s="31"/>
      <c r="H61" s="31"/>
      <c r="I61" s="31"/>
      <c r="J61" s="32"/>
      <c r="K61" s="30"/>
      <c r="L61" s="31"/>
      <c r="M61" s="31"/>
      <c r="N61" s="31"/>
      <c r="O61" s="32"/>
      <c r="P61" s="25"/>
      <c r="Q61" s="31"/>
      <c r="R61" s="58"/>
      <c r="S61" s="58"/>
      <c r="T61" s="26"/>
      <c r="U61" s="30"/>
      <c r="V61" s="31"/>
      <c r="W61" s="31"/>
      <c r="X61" s="31"/>
      <c r="Y61" s="32"/>
      <c r="Z61" s="30"/>
      <c r="AA61" s="31"/>
      <c r="AB61" s="31"/>
      <c r="AC61" s="63"/>
      <c r="AD61" s="32"/>
      <c r="AE61" s="63"/>
      <c r="AF61" s="31"/>
      <c r="AG61" s="31"/>
      <c r="AH61" s="31"/>
      <c r="AI61" s="32"/>
      <c r="AJ61" s="71">
        <v>1.5</v>
      </c>
      <c r="AK61" s="31"/>
      <c r="AL61" s="31"/>
      <c r="AM61" s="31"/>
      <c r="AN61" s="32"/>
      <c r="AO61" s="30"/>
      <c r="AP61" s="31"/>
      <c r="AQ61" s="31"/>
      <c r="AR61" s="31"/>
      <c r="AS61" s="32"/>
      <c r="AT61" s="30"/>
      <c r="AU61" s="31"/>
      <c r="AV61" s="30"/>
      <c r="AW61" s="31"/>
      <c r="AX61" s="31"/>
      <c r="AY61" s="31"/>
      <c r="AZ61" s="32"/>
      <c r="BA61" s="30"/>
      <c r="BB61" s="32"/>
    </row>
    <row r="62" spans="1:54" ht="15" customHeight="1" x14ac:dyDescent="0.55000000000000004">
      <c r="A62" s="207"/>
      <c r="B62" s="209"/>
      <c r="C62" s="102"/>
      <c r="D62" s="102"/>
      <c r="E62" s="106"/>
      <c r="F62" s="27"/>
      <c r="G62" s="28"/>
      <c r="H62" s="28"/>
      <c r="I62" s="28"/>
      <c r="J62" s="29"/>
      <c r="K62" s="27"/>
      <c r="L62" s="28"/>
      <c r="M62" s="28"/>
      <c r="N62" s="28"/>
      <c r="O62" s="29"/>
      <c r="P62" s="27"/>
      <c r="Q62" s="28"/>
      <c r="R62" s="28"/>
      <c r="S62" s="28"/>
      <c r="T62" s="29"/>
      <c r="U62" s="27"/>
      <c r="V62" s="28"/>
      <c r="W62" s="28"/>
      <c r="X62" s="28"/>
      <c r="Y62" s="29"/>
      <c r="Z62" s="27"/>
      <c r="AA62" s="28"/>
      <c r="AB62" s="28"/>
      <c r="AC62" s="63"/>
      <c r="AD62" s="29"/>
      <c r="AE62" s="63"/>
      <c r="AF62" s="28"/>
      <c r="AG62" s="28"/>
      <c r="AH62" s="28"/>
      <c r="AI62" s="29"/>
      <c r="AJ62" s="27"/>
      <c r="AK62" s="28"/>
      <c r="AL62" s="28"/>
      <c r="AM62" s="28"/>
      <c r="AN62" s="29"/>
      <c r="AO62" s="27"/>
      <c r="AP62" s="28"/>
      <c r="AQ62" s="28"/>
      <c r="AR62" s="28"/>
      <c r="AS62" s="29"/>
      <c r="AT62" s="27"/>
      <c r="AU62" s="28"/>
      <c r="AV62" s="27"/>
      <c r="AW62" s="28"/>
      <c r="AX62" s="28"/>
      <c r="AY62" s="28"/>
      <c r="AZ62" s="29"/>
      <c r="BA62" s="27"/>
      <c r="BB62" s="29"/>
    </row>
    <row r="63" spans="1:54" ht="15" customHeight="1" x14ac:dyDescent="0.55000000000000004">
      <c r="A63" s="210" t="b">
        <v>0</v>
      </c>
      <c r="B63" s="211" t="s">
        <v>61</v>
      </c>
      <c r="C63" s="111">
        <f>SUM(F63:BB63)</f>
        <v>1.5</v>
      </c>
      <c r="D63" s="111">
        <f>SUM(F64:BB64)</f>
        <v>0</v>
      </c>
      <c r="E63" s="112">
        <f t="shared" si="3"/>
        <v>1.5</v>
      </c>
      <c r="F63" s="30"/>
      <c r="G63" s="31"/>
      <c r="H63" s="31"/>
      <c r="I63" s="31"/>
      <c r="J63" s="32"/>
      <c r="K63" s="30"/>
      <c r="L63" s="31"/>
      <c r="M63" s="31"/>
      <c r="N63" s="31"/>
      <c r="O63" s="32"/>
      <c r="P63" s="25"/>
      <c r="Q63" s="58"/>
      <c r="R63" s="58"/>
      <c r="S63" s="58"/>
      <c r="T63" s="26"/>
      <c r="U63" s="30"/>
      <c r="V63" s="31"/>
      <c r="W63" s="31"/>
      <c r="X63" s="31"/>
      <c r="Y63" s="32"/>
      <c r="Z63" s="30"/>
      <c r="AA63" s="31"/>
      <c r="AB63" s="31"/>
      <c r="AC63" s="31"/>
      <c r="AD63" s="32"/>
      <c r="AE63" s="30"/>
      <c r="AF63" s="31"/>
      <c r="AG63" s="31"/>
      <c r="AH63" s="31"/>
      <c r="AI63" s="32"/>
      <c r="AJ63" s="30"/>
      <c r="AK63" s="70">
        <v>1.5</v>
      </c>
      <c r="AL63" s="31"/>
      <c r="AM63" s="31"/>
      <c r="AN63" s="32"/>
      <c r="AO63" s="30"/>
      <c r="AP63" s="31"/>
      <c r="AQ63" s="31"/>
      <c r="AR63" s="31"/>
      <c r="AS63" s="32"/>
      <c r="AT63" s="30"/>
      <c r="AU63" s="31"/>
      <c r="AV63" s="30"/>
      <c r="AW63" s="31"/>
      <c r="AX63" s="31"/>
      <c r="AY63" s="31"/>
      <c r="AZ63" s="32"/>
      <c r="BA63" s="30"/>
      <c r="BB63" s="32"/>
    </row>
    <row r="64" spans="1:54" ht="15" customHeight="1" x14ac:dyDescent="0.55000000000000004">
      <c r="A64" s="207"/>
      <c r="B64" s="212"/>
      <c r="C64" s="102"/>
      <c r="D64" s="102"/>
      <c r="E64" s="106"/>
      <c r="F64" s="27"/>
      <c r="G64" s="28"/>
      <c r="H64" s="28"/>
      <c r="I64" s="28"/>
      <c r="J64" s="29"/>
      <c r="K64" s="27"/>
      <c r="L64" s="28"/>
      <c r="M64" s="28"/>
      <c r="N64" s="28"/>
      <c r="O64" s="29"/>
      <c r="P64" s="27"/>
      <c r="Q64" s="28"/>
      <c r="R64" s="28"/>
      <c r="S64" s="28"/>
      <c r="T64" s="29"/>
      <c r="U64" s="27"/>
      <c r="V64" s="28"/>
      <c r="W64" s="28"/>
      <c r="X64" s="28"/>
      <c r="Y64" s="29"/>
      <c r="Z64" s="27"/>
      <c r="AA64" s="28"/>
      <c r="AB64" s="28"/>
      <c r="AC64" s="28"/>
      <c r="AD64" s="29"/>
      <c r="AE64" s="27"/>
      <c r="AF64" s="28"/>
      <c r="AG64" s="28"/>
      <c r="AH64" s="28"/>
      <c r="AI64" s="29"/>
      <c r="AJ64" s="27"/>
      <c r="AK64" s="28"/>
      <c r="AL64" s="28"/>
      <c r="AM64" s="28"/>
      <c r="AN64" s="29"/>
      <c r="AO64" s="27"/>
      <c r="AP64" s="28"/>
      <c r="AQ64" s="28"/>
      <c r="AR64" s="28"/>
      <c r="AS64" s="29"/>
      <c r="AT64" s="27"/>
      <c r="AU64" s="28"/>
      <c r="AV64" s="27"/>
      <c r="AW64" s="28"/>
      <c r="AX64" s="28"/>
      <c r="AY64" s="28"/>
      <c r="AZ64" s="29"/>
      <c r="BA64" s="27"/>
      <c r="BB64" s="29"/>
    </row>
    <row r="65" spans="1:54" ht="15" customHeight="1" x14ac:dyDescent="0.55000000000000004">
      <c r="A65" s="210" t="b">
        <v>0</v>
      </c>
      <c r="B65" s="213" t="s">
        <v>63</v>
      </c>
      <c r="C65" s="111">
        <f>SUM(F65:BB65)</f>
        <v>4.5</v>
      </c>
      <c r="D65" s="111">
        <f>SUM(F66:BB66)</f>
        <v>0</v>
      </c>
      <c r="E65" s="112">
        <f t="shared" si="3"/>
        <v>4.5</v>
      </c>
      <c r="F65" s="30"/>
      <c r="G65" s="31"/>
      <c r="H65" s="31"/>
      <c r="I65" s="31"/>
      <c r="J65" s="32"/>
      <c r="K65" s="30"/>
      <c r="L65" s="31"/>
      <c r="M65" s="31"/>
      <c r="N65" s="31"/>
      <c r="O65" s="32"/>
      <c r="P65" s="25"/>
      <c r="Q65" s="58"/>
      <c r="R65" s="58"/>
      <c r="S65" s="58"/>
      <c r="T65" s="276"/>
      <c r="U65" s="30"/>
      <c r="V65" s="31"/>
      <c r="W65" s="31"/>
      <c r="X65" s="31"/>
      <c r="Y65" s="32"/>
      <c r="Z65" s="30"/>
      <c r="AA65" s="31"/>
      <c r="AB65" s="31"/>
      <c r="AC65" s="31"/>
      <c r="AD65" s="32"/>
      <c r="AE65" s="30"/>
      <c r="AF65" s="31"/>
      <c r="AG65" s="31"/>
      <c r="AH65" s="31"/>
      <c r="AI65" s="32"/>
      <c r="AJ65" s="30"/>
      <c r="AK65" s="31"/>
      <c r="AL65" s="70">
        <v>1.5</v>
      </c>
      <c r="AM65" s="70">
        <v>1.5</v>
      </c>
      <c r="AN65" s="32"/>
      <c r="AO65" s="71">
        <v>1.5</v>
      </c>
      <c r="AP65" s="31"/>
      <c r="AQ65" s="31"/>
      <c r="AR65" s="31"/>
      <c r="AS65" s="32"/>
      <c r="AT65" s="30"/>
      <c r="AU65" s="31"/>
      <c r="AV65" s="30"/>
      <c r="AW65" s="31"/>
      <c r="AX65" s="31"/>
      <c r="AY65" s="31"/>
      <c r="AZ65" s="32"/>
      <c r="BA65" s="30"/>
      <c r="BB65" s="32"/>
    </row>
    <row r="66" spans="1:54" ht="15" customHeight="1" thickBot="1" x14ac:dyDescent="0.6">
      <c r="A66" s="207"/>
      <c r="B66" s="209"/>
      <c r="C66" s="102"/>
      <c r="D66" s="102"/>
      <c r="E66" s="106"/>
      <c r="F66" s="27"/>
      <c r="G66" s="28"/>
      <c r="H66" s="28"/>
      <c r="I66" s="28"/>
      <c r="J66" s="29"/>
      <c r="K66" s="27"/>
      <c r="L66" s="28"/>
      <c r="M66" s="28"/>
      <c r="N66" s="28"/>
      <c r="O66" s="29"/>
      <c r="P66" s="27"/>
      <c r="Q66" s="28"/>
      <c r="R66" s="28"/>
      <c r="S66" s="28"/>
      <c r="T66" s="29"/>
      <c r="U66" s="27"/>
      <c r="V66" s="28"/>
      <c r="W66" s="28"/>
      <c r="X66" s="28"/>
      <c r="Y66" s="29"/>
      <c r="Z66" s="27"/>
      <c r="AA66" s="28"/>
      <c r="AB66" s="28"/>
      <c r="AC66" s="28"/>
      <c r="AD66" s="29"/>
      <c r="AE66" s="43"/>
      <c r="AF66" s="44"/>
      <c r="AG66" s="44"/>
      <c r="AH66" s="44"/>
      <c r="AI66" s="45"/>
      <c r="AJ66" s="43"/>
      <c r="AK66" s="44"/>
      <c r="AL66" s="44"/>
      <c r="AM66" s="44"/>
      <c r="AN66" s="45"/>
      <c r="AO66" s="43"/>
      <c r="AP66" s="44"/>
      <c r="AQ66" s="44"/>
      <c r="AR66" s="44"/>
      <c r="AS66" s="45"/>
      <c r="AT66" s="27"/>
      <c r="AU66" s="28"/>
      <c r="AV66" s="27"/>
      <c r="AW66" s="28"/>
      <c r="AX66" s="28"/>
      <c r="AY66" s="28"/>
      <c r="AZ66" s="29"/>
      <c r="BA66" s="27"/>
      <c r="BB66" s="29"/>
    </row>
    <row r="67" spans="1:54" ht="15" customHeight="1" x14ac:dyDescent="0.55000000000000004">
      <c r="A67" s="224" t="b">
        <v>0</v>
      </c>
      <c r="B67" s="226" t="s">
        <v>19</v>
      </c>
      <c r="C67" s="228">
        <f>SUM(C69:C74)</f>
        <v>3.5</v>
      </c>
      <c r="D67" s="228">
        <f>SUM(D69:D74)</f>
        <v>0</v>
      </c>
      <c r="E67" s="228">
        <f>(C67-D67)</f>
        <v>3.5</v>
      </c>
      <c r="F67" s="214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215"/>
      <c r="AC67" s="215"/>
      <c r="AD67" s="215"/>
      <c r="AE67" s="215"/>
      <c r="AF67" s="215"/>
      <c r="AG67" s="215"/>
      <c r="AH67" s="215"/>
      <c r="AI67" s="215"/>
      <c r="AJ67" s="215"/>
      <c r="AK67" s="215"/>
      <c r="AL67" s="215"/>
      <c r="AM67" s="215"/>
      <c r="AN67" s="215"/>
      <c r="AO67" s="215"/>
      <c r="AP67" s="215"/>
      <c r="AQ67" s="215"/>
      <c r="AR67" s="215"/>
      <c r="AS67" s="215"/>
      <c r="AT67" s="215"/>
      <c r="AU67" s="215"/>
      <c r="AV67" s="215"/>
      <c r="AW67" s="215"/>
      <c r="AX67" s="215"/>
      <c r="AY67" s="215"/>
      <c r="AZ67" s="215"/>
      <c r="BA67" s="215"/>
      <c r="BB67" s="216"/>
    </row>
    <row r="68" spans="1:54" ht="15" customHeight="1" thickBot="1" x14ac:dyDescent="0.6">
      <c r="A68" s="225"/>
      <c r="B68" s="227"/>
      <c r="C68" s="229"/>
      <c r="D68" s="229"/>
      <c r="E68" s="230"/>
      <c r="F68" s="217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  <c r="AR68" s="218"/>
      <c r="AS68" s="218"/>
      <c r="AT68" s="218"/>
      <c r="AU68" s="218"/>
      <c r="AV68" s="218"/>
      <c r="AW68" s="218"/>
      <c r="AX68" s="218"/>
      <c r="AY68" s="218"/>
      <c r="AZ68" s="218"/>
      <c r="BA68" s="218"/>
      <c r="BB68" s="219"/>
    </row>
    <row r="69" spans="1:54" ht="15" customHeight="1" x14ac:dyDescent="0.55000000000000004">
      <c r="A69" s="220" t="b">
        <v>0</v>
      </c>
      <c r="B69" s="222" t="s">
        <v>45</v>
      </c>
      <c r="C69" s="111">
        <f>SUM(F69:BB69)</f>
        <v>1.5</v>
      </c>
      <c r="D69" s="111">
        <f>SUM(F70:BB70)</f>
        <v>0</v>
      </c>
      <c r="E69" s="105">
        <f>(AVERAGE(C69,C70)-AVERAGE(D69,D70) )</f>
        <v>1.5</v>
      </c>
      <c r="F69" s="30"/>
      <c r="G69" s="31"/>
      <c r="H69" s="31"/>
      <c r="I69" s="31"/>
      <c r="J69" s="32"/>
      <c r="K69" s="30"/>
      <c r="L69" s="31"/>
      <c r="M69" s="31"/>
      <c r="N69" s="31"/>
      <c r="O69" s="32"/>
      <c r="P69" s="25"/>
      <c r="Q69" s="58"/>
      <c r="R69" s="58"/>
      <c r="S69" s="58"/>
      <c r="T69" s="26"/>
      <c r="U69" s="30"/>
      <c r="V69" s="31"/>
      <c r="W69" s="31"/>
      <c r="X69" s="31"/>
      <c r="Y69" s="32"/>
      <c r="Z69" s="30"/>
      <c r="AA69" s="31"/>
      <c r="AB69" s="31"/>
      <c r="AC69" s="31"/>
      <c r="AD69" s="32"/>
      <c r="AE69" s="31"/>
      <c r="AF69" s="31"/>
      <c r="AG69" s="31"/>
      <c r="AH69" s="31"/>
      <c r="AI69" s="32"/>
      <c r="AJ69" s="30"/>
      <c r="AK69" s="31"/>
      <c r="AL69" s="31"/>
      <c r="AM69" s="31"/>
      <c r="AN69" s="32"/>
      <c r="AO69" s="30"/>
      <c r="AP69" s="70">
        <v>1.5</v>
      </c>
      <c r="AQ69" s="31"/>
      <c r="AR69" s="31"/>
      <c r="AS69" s="32"/>
      <c r="AT69" s="30"/>
      <c r="AU69" s="31"/>
      <c r="AV69" s="30"/>
      <c r="AW69" s="31"/>
      <c r="AX69" s="31"/>
      <c r="AY69" s="31"/>
      <c r="AZ69" s="32"/>
      <c r="BA69" s="30"/>
      <c r="BB69" s="32"/>
    </row>
    <row r="70" spans="1:54" ht="15" customHeight="1" x14ac:dyDescent="0.55000000000000004">
      <c r="A70" s="221"/>
      <c r="B70" s="223"/>
      <c r="C70" s="102"/>
      <c r="D70" s="102"/>
      <c r="E70" s="106"/>
      <c r="F70" s="27"/>
      <c r="G70" s="28"/>
      <c r="H70" s="28"/>
      <c r="I70" s="28"/>
      <c r="J70" s="29"/>
      <c r="K70" s="27"/>
      <c r="L70" s="28"/>
      <c r="M70" s="28"/>
      <c r="N70" s="28"/>
      <c r="O70" s="29"/>
      <c r="P70" s="27"/>
      <c r="Q70" s="28"/>
      <c r="R70" s="28"/>
      <c r="S70" s="28"/>
      <c r="T70" s="29"/>
      <c r="U70" s="27"/>
      <c r="V70" s="28"/>
      <c r="W70" s="28"/>
      <c r="X70" s="28"/>
      <c r="Y70" s="29"/>
      <c r="Z70" s="27"/>
      <c r="AA70" s="28"/>
      <c r="AB70" s="28"/>
      <c r="AC70" s="28"/>
      <c r="AD70" s="29"/>
      <c r="AE70" s="27"/>
      <c r="AF70" s="28"/>
      <c r="AG70" s="28"/>
      <c r="AH70" s="28"/>
      <c r="AI70" s="29"/>
      <c r="AJ70" s="27"/>
      <c r="AK70" s="28"/>
      <c r="AL70" s="28"/>
      <c r="AM70" s="28"/>
      <c r="AN70" s="29"/>
      <c r="AO70" s="27"/>
      <c r="AP70" s="28"/>
      <c r="AQ70" s="28"/>
      <c r="AR70" s="28"/>
      <c r="AS70" s="29"/>
      <c r="AT70" s="27"/>
      <c r="AU70" s="28"/>
      <c r="AV70" s="27"/>
      <c r="AW70" s="28"/>
      <c r="AX70" s="28"/>
      <c r="AY70" s="28"/>
      <c r="AZ70" s="29"/>
      <c r="BA70" s="27"/>
      <c r="BB70" s="29"/>
    </row>
    <row r="71" spans="1:54" ht="15" customHeight="1" x14ac:dyDescent="0.55000000000000004">
      <c r="A71" s="242" t="b">
        <v>0</v>
      </c>
      <c r="B71" s="243" t="s">
        <v>46</v>
      </c>
      <c r="C71" s="111">
        <f>SUM(F71:BB71)</f>
        <v>1</v>
      </c>
      <c r="D71" s="111">
        <f>SUM(F72:BB72)</f>
        <v>0</v>
      </c>
      <c r="E71" s="112">
        <f t="shared" ref="E71" si="4">(AVERAGE(C71,C72)-AVERAGE(D71,D72) )</f>
        <v>1</v>
      </c>
      <c r="F71" s="30"/>
      <c r="G71" s="31"/>
      <c r="H71" s="31"/>
      <c r="I71" s="31"/>
      <c r="J71" s="32"/>
      <c r="K71" s="30"/>
      <c r="L71" s="31"/>
      <c r="M71" s="31"/>
      <c r="N71" s="31"/>
      <c r="O71" s="32"/>
      <c r="P71" s="25"/>
      <c r="Q71" s="58"/>
      <c r="R71" s="58"/>
      <c r="S71" s="58"/>
      <c r="T71" s="26"/>
      <c r="U71" s="30"/>
      <c r="V71" s="31"/>
      <c r="W71" s="31"/>
      <c r="X71" s="31"/>
      <c r="Y71" s="32"/>
      <c r="Z71" s="30"/>
      <c r="AA71" s="31"/>
      <c r="AB71" s="31"/>
      <c r="AC71" s="31"/>
      <c r="AD71" s="32"/>
      <c r="AE71" s="31"/>
      <c r="AF71" s="31"/>
      <c r="AG71" s="31"/>
      <c r="AH71" s="31"/>
      <c r="AI71" s="32"/>
      <c r="AJ71" s="30"/>
      <c r="AK71" s="31"/>
      <c r="AL71" s="31"/>
      <c r="AM71" s="31"/>
      <c r="AN71" s="32"/>
      <c r="AO71" s="30"/>
      <c r="AP71" s="31"/>
      <c r="AQ71" s="70">
        <v>1</v>
      </c>
      <c r="AR71" s="31"/>
      <c r="AS71" s="32"/>
      <c r="AT71" s="30"/>
      <c r="AU71" s="31"/>
      <c r="AV71" s="30"/>
      <c r="AW71" s="31"/>
      <c r="AX71" s="31"/>
      <c r="AY71" s="31"/>
      <c r="AZ71" s="32"/>
      <c r="BA71" s="30"/>
      <c r="BB71" s="32"/>
    </row>
    <row r="72" spans="1:54" ht="15" customHeight="1" x14ac:dyDescent="0.55000000000000004">
      <c r="A72" s="221"/>
      <c r="B72" s="244"/>
      <c r="C72" s="102"/>
      <c r="D72" s="102"/>
      <c r="E72" s="106"/>
      <c r="F72" s="27"/>
      <c r="G72" s="28"/>
      <c r="H72" s="28"/>
      <c r="I72" s="28"/>
      <c r="J72" s="29"/>
      <c r="K72" s="27"/>
      <c r="L72" s="28"/>
      <c r="M72" s="28"/>
      <c r="N72" s="28"/>
      <c r="O72" s="29"/>
      <c r="P72" s="27"/>
      <c r="Q72" s="28"/>
      <c r="R72" s="28"/>
      <c r="S72" s="28"/>
      <c r="T72" s="29"/>
      <c r="U72" s="27"/>
      <c r="V72" s="28"/>
      <c r="W72" s="28"/>
      <c r="X72" s="28"/>
      <c r="Y72" s="29"/>
      <c r="Z72" s="27"/>
      <c r="AA72" s="28"/>
      <c r="AB72" s="28"/>
      <c r="AC72" s="28"/>
      <c r="AD72" s="29"/>
      <c r="AE72" s="27"/>
      <c r="AF72" s="28"/>
      <c r="AG72" s="28"/>
      <c r="AH72" s="28"/>
      <c r="AI72" s="29"/>
      <c r="AJ72" s="27"/>
      <c r="AK72" s="28"/>
      <c r="AL72" s="28"/>
      <c r="AM72" s="28"/>
      <c r="AN72" s="29"/>
      <c r="AO72" s="27"/>
      <c r="AP72" s="28"/>
      <c r="AQ72" s="28"/>
      <c r="AR72" s="28"/>
      <c r="AS72" s="29"/>
      <c r="AT72" s="27"/>
      <c r="AU72" s="28"/>
      <c r="AV72" s="27"/>
      <c r="AW72" s="28"/>
      <c r="AX72" s="28"/>
      <c r="AY72" s="28"/>
      <c r="AZ72" s="29"/>
      <c r="BA72" s="27"/>
      <c r="BB72" s="29"/>
    </row>
    <row r="73" spans="1:54" ht="15" customHeight="1" x14ac:dyDescent="0.55000000000000004">
      <c r="A73" s="245" t="b">
        <v>0</v>
      </c>
      <c r="B73" s="246" t="s">
        <v>47</v>
      </c>
      <c r="C73" s="111">
        <f>SUM(F73:BB73)</f>
        <v>1</v>
      </c>
      <c r="D73" s="111">
        <f>SUM(F74:BB74)</f>
        <v>0</v>
      </c>
      <c r="E73" s="112">
        <f>(AVERAGE(C73,C74)-AVERAGE(D73,D74) )</f>
        <v>1</v>
      </c>
      <c r="F73" s="25"/>
      <c r="G73" s="58"/>
      <c r="H73" s="58"/>
      <c r="I73" s="58"/>
      <c r="J73" s="26"/>
      <c r="K73" s="25"/>
      <c r="L73" s="58"/>
      <c r="M73" s="58"/>
      <c r="N73" s="58"/>
      <c r="O73" s="26"/>
      <c r="P73" s="25"/>
      <c r="Q73" s="58"/>
      <c r="R73" s="58"/>
      <c r="S73" s="58"/>
      <c r="T73" s="26"/>
      <c r="U73" s="25"/>
      <c r="V73" s="58"/>
      <c r="W73" s="58"/>
      <c r="X73" s="58"/>
      <c r="Y73" s="26"/>
      <c r="Z73" s="25"/>
      <c r="AA73" s="58"/>
      <c r="AB73" s="58"/>
      <c r="AC73" s="58"/>
      <c r="AD73" s="26"/>
      <c r="AE73" s="25"/>
      <c r="AF73" s="58"/>
      <c r="AG73" s="58"/>
      <c r="AH73" s="58"/>
      <c r="AI73" s="26"/>
      <c r="AJ73" s="25"/>
      <c r="AK73" s="58"/>
      <c r="AL73" s="58"/>
      <c r="AM73" s="58"/>
      <c r="AN73" s="26"/>
      <c r="AO73" s="25"/>
      <c r="AP73" s="58"/>
      <c r="AQ73" s="66">
        <v>1</v>
      </c>
      <c r="AR73" s="58"/>
      <c r="AS73" s="26"/>
      <c r="AT73" s="25"/>
      <c r="AU73" s="58"/>
      <c r="AV73" s="25"/>
      <c r="AW73" s="58"/>
      <c r="AX73" s="58"/>
      <c r="AY73" s="58"/>
      <c r="AZ73" s="26"/>
      <c r="BA73" s="25"/>
      <c r="BB73" s="26"/>
    </row>
    <row r="74" spans="1:54" ht="15" customHeight="1" thickBot="1" x14ac:dyDescent="0.6">
      <c r="A74" s="245"/>
      <c r="B74" s="247"/>
      <c r="C74" s="102"/>
      <c r="D74" s="102"/>
      <c r="E74" s="143"/>
      <c r="F74" s="25"/>
      <c r="G74" s="58"/>
      <c r="H74" s="58"/>
      <c r="I74" s="58"/>
      <c r="J74" s="26"/>
      <c r="K74" s="25"/>
      <c r="L74" s="58"/>
      <c r="M74" s="58"/>
      <c r="N74" s="58"/>
      <c r="O74" s="26"/>
      <c r="P74" s="27"/>
      <c r="Q74" s="28"/>
      <c r="R74" s="28"/>
      <c r="S74" s="28"/>
      <c r="T74" s="29"/>
      <c r="U74" s="25"/>
      <c r="V74" s="58"/>
      <c r="W74" s="58"/>
      <c r="X74" s="58"/>
      <c r="Y74" s="26"/>
      <c r="Z74" s="25"/>
      <c r="AA74" s="58"/>
      <c r="AB74" s="58"/>
      <c r="AC74" s="58"/>
      <c r="AD74" s="26"/>
      <c r="AE74" s="25"/>
      <c r="AF74" s="58"/>
      <c r="AG74" s="58"/>
      <c r="AH74" s="58"/>
      <c r="AI74" s="26"/>
      <c r="AJ74" s="25"/>
      <c r="AK74" s="58"/>
      <c r="AL74" s="58"/>
      <c r="AM74" s="58"/>
      <c r="AN74" s="26"/>
      <c r="AO74" s="25"/>
      <c r="AP74" s="58"/>
      <c r="AQ74" s="58"/>
      <c r="AR74" s="58"/>
      <c r="AS74" s="26"/>
      <c r="AT74" s="25"/>
      <c r="AU74" s="58"/>
      <c r="AV74" s="25"/>
      <c r="AW74" s="58"/>
      <c r="AX74" s="58"/>
      <c r="AY74" s="58"/>
      <c r="AZ74" s="26"/>
      <c r="BA74" s="25"/>
      <c r="BB74" s="26"/>
    </row>
    <row r="75" spans="1:54" ht="15" customHeight="1" x14ac:dyDescent="0.55000000000000004">
      <c r="A75" s="231" t="b">
        <v>0</v>
      </c>
      <c r="B75" s="233" t="s">
        <v>20</v>
      </c>
      <c r="C75" s="127">
        <f>SUM(C77:C86)</f>
        <v>11</v>
      </c>
      <c r="D75" s="127">
        <f>SUM(D77:D86)</f>
        <v>0</v>
      </c>
      <c r="E75" s="127">
        <f>(C75-D75)</f>
        <v>11</v>
      </c>
      <c r="F75" s="236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  <c r="AA75" s="237"/>
      <c r="AB75" s="237"/>
      <c r="AC75" s="237"/>
      <c r="AD75" s="237"/>
      <c r="AE75" s="237"/>
      <c r="AF75" s="237"/>
      <c r="AG75" s="237"/>
      <c r="AH75" s="237"/>
      <c r="AI75" s="237"/>
      <c r="AJ75" s="237"/>
      <c r="AK75" s="237"/>
      <c r="AL75" s="237"/>
      <c r="AM75" s="237"/>
      <c r="AN75" s="237"/>
      <c r="AO75" s="237"/>
      <c r="AP75" s="237"/>
      <c r="AQ75" s="237"/>
      <c r="AR75" s="237"/>
      <c r="AS75" s="237"/>
      <c r="AT75" s="237"/>
      <c r="AU75" s="237"/>
      <c r="AV75" s="237"/>
      <c r="AW75" s="237"/>
      <c r="AX75" s="237"/>
      <c r="AY75" s="237"/>
      <c r="AZ75" s="237"/>
      <c r="BA75" s="237"/>
      <c r="BB75" s="238"/>
    </row>
    <row r="76" spans="1:54" ht="15" customHeight="1" thickBot="1" x14ac:dyDescent="0.6">
      <c r="A76" s="232"/>
      <c r="B76" s="234"/>
      <c r="C76" s="235"/>
      <c r="D76" s="235"/>
      <c r="E76" s="128"/>
      <c r="F76" s="239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0"/>
      <c r="AA76" s="240"/>
      <c r="AB76" s="240"/>
      <c r="AC76" s="240"/>
      <c r="AD76" s="240"/>
      <c r="AE76" s="240"/>
      <c r="AF76" s="240"/>
      <c r="AG76" s="240"/>
      <c r="AH76" s="240"/>
      <c r="AI76" s="240"/>
      <c r="AJ76" s="240"/>
      <c r="AK76" s="240"/>
      <c r="AL76" s="240"/>
      <c r="AM76" s="240"/>
      <c r="AN76" s="240"/>
      <c r="AO76" s="240"/>
      <c r="AP76" s="240"/>
      <c r="AQ76" s="240"/>
      <c r="AR76" s="240"/>
      <c r="AS76" s="240"/>
      <c r="AT76" s="240"/>
      <c r="AU76" s="240"/>
      <c r="AV76" s="240"/>
      <c r="AW76" s="240"/>
      <c r="AX76" s="240"/>
      <c r="AY76" s="240"/>
      <c r="AZ76" s="240"/>
      <c r="BA76" s="240"/>
      <c r="BB76" s="241"/>
    </row>
    <row r="77" spans="1:54" ht="15" customHeight="1" x14ac:dyDescent="0.55000000000000004">
      <c r="A77" s="248" t="b">
        <v>0</v>
      </c>
      <c r="B77" s="250" t="s">
        <v>48</v>
      </c>
      <c r="C77" s="111">
        <f>SUM(F77:BB77)</f>
        <v>1.5</v>
      </c>
      <c r="D77" s="111">
        <f>SUM(F78:BB78)</f>
        <v>0</v>
      </c>
      <c r="E77" s="105">
        <f>(AVERAGE(C77,C78)-AVERAGE(D77,D78) )</f>
        <v>1.5</v>
      </c>
      <c r="F77" s="38"/>
      <c r="G77" s="39"/>
      <c r="H77" s="39"/>
      <c r="I77" s="39"/>
      <c r="J77" s="40"/>
      <c r="K77" s="38"/>
      <c r="L77" s="39"/>
      <c r="M77" s="39"/>
      <c r="N77" s="39"/>
      <c r="O77" s="40"/>
      <c r="P77" s="25"/>
      <c r="Q77" s="58"/>
      <c r="R77" s="58"/>
      <c r="S77" s="58"/>
      <c r="T77" s="26"/>
      <c r="U77" s="38"/>
      <c r="V77" s="39"/>
      <c r="W77" s="39"/>
      <c r="X77" s="39"/>
      <c r="Y77" s="40"/>
      <c r="Z77" s="38"/>
      <c r="AA77" s="39"/>
      <c r="AB77" s="39"/>
      <c r="AC77" s="39"/>
      <c r="AD77" s="40"/>
      <c r="AE77" s="38"/>
      <c r="AF77" s="39"/>
      <c r="AG77" s="39"/>
      <c r="AH77" s="39"/>
      <c r="AI77" s="40"/>
      <c r="AJ77" s="38"/>
      <c r="AK77" s="39"/>
      <c r="AL77" s="39"/>
      <c r="AM77" s="39"/>
      <c r="AN77" s="40"/>
      <c r="AO77" s="38"/>
      <c r="AP77" s="39"/>
      <c r="AQ77" s="39"/>
      <c r="AR77" s="72">
        <v>1.5</v>
      </c>
      <c r="AS77" s="40"/>
      <c r="AT77" s="38"/>
      <c r="AU77" s="39"/>
      <c r="AV77" s="38"/>
      <c r="AW77" s="39"/>
      <c r="AX77" s="39"/>
      <c r="AY77" s="39"/>
      <c r="AZ77" s="40"/>
      <c r="BA77" s="38"/>
      <c r="BB77" s="40"/>
    </row>
    <row r="78" spans="1:54" ht="15" customHeight="1" x14ac:dyDescent="0.55000000000000004">
      <c r="A78" s="249"/>
      <c r="B78" s="251"/>
      <c r="C78" s="102"/>
      <c r="D78" s="102"/>
      <c r="E78" s="106"/>
      <c r="F78" s="27"/>
      <c r="G78" s="28"/>
      <c r="H78" s="28"/>
      <c r="I78" s="28"/>
      <c r="J78" s="29"/>
      <c r="K78" s="27"/>
      <c r="L78" s="28"/>
      <c r="M78" s="28"/>
      <c r="N78" s="28"/>
      <c r="O78" s="29"/>
      <c r="P78" s="27"/>
      <c r="Q78" s="28"/>
      <c r="R78" s="28"/>
      <c r="S78" s="28"/>
      <c r="T78" s="29"/>
      <c r="U78" s="27"/>
      <c r="V78" s="28"/>
      <c r="W78" s="28"/>
      <c r="X78" s="28"/>
      <c r="Y78" s="29"/>
      <c r="Z78" s="27"/>
      <c r="AA78" s="28"/>
      <c r="AB78" s="28"/>
      <c r="AC78" s="28"/>
      <c r="AD78" s="29"/>
      <c r="AE78" s="27"/>
      <c r="AF78" s="28"/>
      <c r="AG78" s="28"/>
      <c r="AH78" s="28"/>
      <c r="AI78" s="29"/>
      <c r="AJ78" s="27"/>
      <c r="AK78" s="28"/>
      <c r="AL78" s="28"/>
      <c r="AM78" s="28"/>
      <c r="AN78" s="29"/>
      <c r="AO78" s="27"/>
      <c r="AP78" s="28"/>
      <c r="AQ78" s="28"/>
      <c r="AR78" s="28"/>
      <c r="AS78" s="29"/>
      <c r="AT78" s="27"/>
      <c r="AU78" s="28"/>
      <c r="AV78" s="27"/>
      <c r="AW78" s="28"/>
      <c r="AX78" s="28"/>
      <c r="AY78" s="28"/>
      <c r="AZ78" s="29"/>
      <c r="BA78" s="27"/>
      <c r="BB78" s="29"/>
    </row>
    <row r="79" spans="1:54" ht="15" customHeight="1" x14ac:dyDescent="0.55000000000000004">
      <c r="A79" s="252" t="b">
        <v>0</v>
      </c>
      <c r="B79" s="253" t="s">
        <v>49</v>
      </c>
      <c r="C79" s="111">
        <f>SUM(F79:BB79)</f>
        <v>1</v>
      </c>
      <c r="D79" s="111">
        <f>SUM(F80:BB80)</f>
        <v>0</v>
      </c>
      <c r="E79" s="112">
        <f t="shared" ref="E79:E83" si="5">(AVERAGE(C79,C80)-AVERAGE(D79,D80) )</f>
        <v>1</v>
      </c>
      <c r="F79" s="25"/>
      <c r="G79" s="58"/>
      <c r="H79" s="58"/>
      <c r="I79" s="58"/>
      <c r="J79" s="26"/>
      <c r="K79" s="25"/>
      <c r="L79" s="58"/>
      <c r="M79" s="58"/>
      <c r="N79" s="58"/>
      <c r="O79" s="26"/>
      <c r="P79" s="25"/>
      <c r="Q79" s="58"/>
      <c r="R79" s="58"/>
      <c r="S79" s="58"/>
      <c r="T79" s="26"/>
      <c r="U79" s="25"/>
      <c r="V79" s="58"/>
      <c r="W79" s="58"/>
      <c r="X79" s="58"/>
      <c r="Y79" s="26"/>
      <c r="Z79" s="25"/>
      <c r="AA79" s="58"/>
      <c r="AB79" s="58"/>
      <c r="AC79" s="58"/>
      <c r="AD79" s="26"/>
      <c r="AE79" s="25"/>
      <c r="AF79" s="58"/>
      <c r="AG79" s="58"/>
      <c r="AH79" s="58"/>
      <c r="AI79" s="26"/>
      <c r="AJ79" s="25"/>
      <c r="AK79" s="58"/>
      <c r="AL79" s="58"/>
      <c r="AM79" s="58"/>
      <c r="AN79" s="26"/>
      <c r="AO79" s="25"/>
      <c r="AP79" s="58"/>
      <c r="AQ79" s="58"/>
      <c r="AR79" s="58"/>
      <c r="AS79" s="26"/>
      <c r="AT79" s="64">
        <v>1</v>
      </c>
      <c r="AU79" s="58"/>
      <c r="AV79" s="25"/>
      <c r="AW79" s="58"/>
      <c r="AX79" s="58"/>
      <c r="AY79" s="58"/>
      <c r="AZ79" s="26"/>
      <c r="BA79" s="25"/>
      <c r="BB79" s="26"/>
    </row>
    <row r="80" spans="1:54" ht="16" customHeight="1" x14ac:dyDescent="0.55000000000000004">
      <c r="A80" s="249"/>
      <c r="B80" s="251"/>
      <c r="C80" s="102"/>
      <c r="D80" s="102"/>
      <c r="E80" s="106"/>
      <c r="F80" s="27"/>
      <c r="G80" s="28"/>
      <c r="H80" s="28"/>
      <c r="I80" s="28"/>
      <c r="J80" s="29"/>
      <c r="K80" s="27"/>
      <c r="L80" s="28"/>
      <c r="M80" s="28"/>
      <c r="N80" s="28"/>
      <c r="O80" s="29"/>
      <c r="P80" s="27"/>
      <c r="Q80" s="28"/>
      <c r="R80" s="28"/>
      <c r="S80" s="28"/>
      <c r="T80" s="29"/>
      <c r="U80" s="27"/>
      <c r="V80" s="28"/>
      <c r="W80" s="28"/>
      <c r="X80" s="28"/>
      <c r="Y80" s="29"/>
      <c r="Z80" s="27"/>
      <c r="AA80" s="28"/>
      <c r="AB80" s="28"/>
      <c r="AC80" s="28"/>
      <c r="AD80" s="29"/>
      <c r="AE80" s="27"/>
      <c r="AF80" s="28"/>
      <c r="AG80" s="28"/>
      <c r="AH80" s="28"/>
      <c r="AI80" s="29"/>
      <c r="AJ80" s="27"/>
      <c r="AK80" s="28"/>
      <c r="AL80" s="28"/>
      <c r="AM80" s="28"/>
      <c r="AN80" s="29"/>
      <c r="AO80" s="27"/>
      <c r="AP80" s="28"/>
      <c r="AQ80" s="28"/>
      <c r="AR80" s="28"/>
      <c r="AS80" s="29"/>
      <c r="AT80" s="27"/>
      <c r="AU80" s="28"/>
      <c r="AV80" s="27"/>
      <c r="AW80" s="28"/>
      <c r="AX80" s="28"/>
      <c r="AY80" s="28"/>
      <c r="AZ80" s="29"/>
      <c r="BA80" s="27"/>
      <c r="BB80" s="29"/>
    </row>
    <row r="81" spans="1:55" ht="15" customHeight="1" x14ac:dyDescent="0.55000000000000004">
      <c r="A81" s="254" t="b">
        <v>0</v>
      </c>
      <c r="B81" s="255" t="s">
        <v>52</v>
      </c>
      <c r="C81" s="111">
        <f>SUM(F81:BB81)</f>
        <v>2.5</v>
      </c>
      <c r="D81" s="111">
        <f>SUM(F82:BB82)</f>
        <v>0</v>
      </c>
      <c r="E81" s="112">
        <f t="shared" si="5"/>
        <v>2.5</v>
      </c>
      <c r="F81" s="30"/>
      <c r="G81" s="31"/>
      <c r="H81" s="31"/>
      <c r="I81" s="31"/>
      <c r="J81" s="32"/>
      <c r="K81" s="30"/>
      <c r="L81" s="31"/>
      <c r="M81" s="31"/>
      <c r="N81" s="31"/>
      <c r="O81" s="32"/>
      <c r="P81" s="25"/>
      <c r="Q81" s="58"/>
      <c r="R81" s="58"/>
      <c r="S81" s="58"/>
      <c r="T81" s="26"/>
      <c r="U81" s="30"/>
      <c r="V81" s="31"/>
      <c r="W81" s="31"/>
      <c r="X81" s="31"/>
      <c r="Y81" s="32"/>
      <c r="Z81" s="30"/>
      <c r="AA81" s="31"/>
      <c r="AB81" s="31"/>
      <c r="AC81" s="31"/>
      <c r="AD81" s="32"/>
      <c r="AE81" s="30"/>
      <c r="AF81" s="31"/>
      <c r="AG81" s="31"/>
      <c r="AH81" s="31"/>
      <c r="AI81" s="32"/>
      <c r="AJ81" s="30"/>
      <c r="AK81" s="31"/>
      <c r="AL81" s="31"/>
      <c r="AM81" s="31"/>
      <c r="AN81" s="32"/>
      <c r="AO81" s="30"/>
      <c r="AP81" s="31"/>
      <c r="AQ81" s="31"/>
      <c r="AR81" s="31"/>
      <c r="AS81" s="32"/>
      <c r="AT81" s="30"/>
      <c r="AU81" s="70">
        <v>1.5</v>
      </c>
      <c r="AV81" s="71">
        <v>1</v>
      </c>
      <c r="AW81" s="31"/>
      <c r="AX81" s="31"/>
      <c r="AY81" s="31"/>
      <c r="AZ81" s="32"/>
      <c r="BA81" s="30"/>
      <c r="BB81" s="32"/>
    </row>
    <row r="82" spans="1:55" ht="16" customHeight="1" x14ac:dyDescent="0.55000000000000004">
      <c r="A82" s="249"/>
      <c r="B82" s="251"/>
      <c r="C82" s="102"/>
      <c r="D82" s="102"/>
      <c r="E82" s="106"/>
      <c r="F82" s="27"/>
      <c r="G82" s="28"/>
      <c r="H82" s="28"/>
      <c r="I82" s="28"/>
      <c r="J82" s="29"/>
      <c r="K82" s="27"/>
      <c r="L82" s="28"/>
      <c r="M82" s="28"/>
      <c r="N82" s="28"/>
      <c r="O82" s="29"/>
      <c r="P82" s="27"/>
      <c r="Q82" s="28"/>
      <c r="R82" s="28"/>
      <c r="S82" s="28"/>
      <c r="T82" s="29"/>
      <c r="U82" s="27"/>
      <c r="V82" s="28"/>
      <c r="W82" s="28"/>
      <c r="X82" s="28"/>
      <c r="Y82" s="29"/>
      <c r="Z82" s="27"/>
      <c r="AA82" s="28"/>
      <c r="AB82" s="28"/>
      <c r="AC82" s="28"/>
      <c r="AD82" s="29"/>
      <c r="AE82" s="27"/>
      <c r="AF82" s="28"/>
      <c r="AG82" s="28"/>
      <c r="AH82" s="28"/>
      <c r="AI82" s="29"/>
      <c r="AJ82" s="27"/>
      <c r="AK82" s="28"/>
      <c r="AL82" s="28"/>
      <c r="AM82" s="28"/>
      <c r="AN82" s="29"/>
      <c r="AO82" s="27"/>
      <c r="AP82" s="28"/>
      <c r="AQ82" s="28"/>
      <c r="AR82" s="28"/>
      <c r="AS82" s="29"/>
      <c r="AT82" s="27"/>
      <c r="AU82" s="28"/>
      <c r="AV82" s="27"/>
      <c r="AW82" s="28"/>
      <c r="AX82" s="28"/>
      <c r="AY82" s="28"/>
      <c r="AZ82" s="29"/>
      <c r="BA82" s="27"/>
      <c r="BB82" s="29"/>
    </row>
    <row r="83" spans="1:55" ht="15" customHeight="1" x14ac:dyDescent="0.55000000000000004">
      <c r="A83" s="252" t="b">
        <v>0</v>
      </c>
      <c r="B83" s="253" t="s">
        <v>51</v>
      </c>
      <c r="C83" s="111">
        <f>SUM(F83:BB83)</f>
        <v>5.5</v>
      </c>
      <c r="D83" s="111">
        <f>SUM(F84:BB84)</f>
        <v>0</v>
      </c>
      <c r="E83" s="112">
        <f t="shared" si="5"/>
        <v>5.5</v>
      </c>
      <c r="F83" s="30"/>
      <c r="G83" s="31"/>
      <c r="H83" s="31"/>
      <c r="I83" s="31"/>
      <c r="J83" s="32"/>
      <c r="K83" s="30"/>
      <c r="L83" s="31"/>
      <c r="M83" s="31"/>
      <c r="N83" s="31"/>
      <c r="O83" s="32"/>
      <c r="P83" s="25"/>
      <c r="Q83" s="58"/>
      <c r="R83" s="58"/>
      <c r="S83" s="58"/>
      <c r="T83" s="26"/>
      <c r="U83" s="30"/>
      <c r="V83" s="31"/>
      <c r="W83" s="31"/>
      <c r="X83" s="31"/>
      <c r="Y83" s="32"/>
      <c r="Z83" s="30"/>
      <c r="AA83" s="31"/>
      <c r="AB83" s="31"/>
      <c r="AC83" s="31"/>
      <c r="AD83" s="32"/>
      <c r="AE83" s="30"/>
      <c r="AF83" s="31"/>
      <c r="AG83" s="31"/>
      <c r="AH83" s="31"/>
      <c r="AI83" s="32"/>
      <c r="AJ83" s="30"/>
      <c r="AK83" s="31"/>
      <c r="AL83" s="31"/>
      <c r="AM83" s="31"/>
      <c r="AN83" s="32"/>
      <c r="AO83" s="30"/>
      <c r="AP83" s="31"/>
      <c r="AQ83" s="31"/>
      <c r="AR83" s="31"/>
      <c r="AS83" s="32"/>
      <c r="AT83" s="30"/>
      <c r="AU83" s="31"/>
      <c r="AV83" s="30"/>
      <c r="AW83" s="70">
        <v>1.5</v>
      </c>
      <c r="AX83" s="70">
        <v>1.5</v>
      </c>
      <c r="AY83" s="70">
        <v>1.5</v>
      </c>
      <c r="AZ83" s="32"/>
      <c r="BA83" s="71">
        <v>1</v>
      </c>
      <c r="BB83" s="32"/>
    </row>
    <row r="84" spans="1:55" ht="15" customHeight="1" x14ac:dyDescent="0.55000000000000004">
      <c r="A84" s="249"/>
      <c r="B84" s="251"/>
      <c r="C84" s="102"/>
      <c r="D84" s="102"/>
      <c r="E84" s="106"/>
      <c r="F84" s="27"/>
      <c r="G84" s="28"/>
      <c r="H84" s="28"/>
      <c r="I84" s="28"/>
      <c r="J84" s="29"/>
      <c r="K84" s="27"/>
      <c r="L84" s="28"/>
      <c r="M84" s="28"/>
      <c r="N84" s="28"/>
      <c r="O84" s="29"/>
      <c r="P84" s="27"/>
      <c r="Q84" s="28"/>
      <c r="R84" s="28"/>
      <c r="S84" s="28"/>
      <c r="T84" s="29"/>
      <c r="U84" s="27"/>
      <c r="V84" s="28"/>
      <c r="W84" s="28"/>
      <c r="X84" s="28"/>
      <c r="Y84" s="29"/>
      <c r="Z84" s="27"/>
      <c r="AA84" s="28"/>
      <c r="AB84" s="28"/>
      <c r="AC84" s="28"/>
      <c r="AD84" s="29"/>
      <c r="AE84" s="27"/>
      <c r="AF84" s="28"/>
      <c r="AG84" s="28"/>
      <c r="AH84" s="28"/>
      <c r="AI84" s="29"/>
      <c r="AJ84" s="27"/>
      <c r="AK84" s="28"/>
      <c r="AL84" s="28"/>
      <c r="AM84" s="28"/>
      <c r="AN84" s="29"/>
      <c r="AO84" s="27"/>
      <c r="AP84" s="28"/>
      <c r="AQ84" s="28"/>
      <c r="AR84" s="28"/>
      <c r="AS84" s="29"/>
      <c r="AT84" s="27"/>
      <c r="AU84" s="28"/>
      <c r="AV84" s="27"/>
      <c r="AW84" s="28"/>
      <c r="AX84" s="28"/>
      <c r="AY84" s="28"/>
      <c r="AZ84" s="29"/>
      <c r="BA84" s="27"/>
      <c r="BB84" s="29"/>
    </row>
    <row r="85" spans="1:55" ht="15" customHeight="1" x14ac:dyDescent="0.55000000000000004">
      <c r="A85" s="252" t="b">
        <v>0</v>
      </c>
      <c r="B85" s="266" t="s">
        <v>50</v>
      </c>
      <c r="C85" s="111">
        <f>SUM(F85:BB85)</f>
        <v>0.5</v>
      </c>
      <c r="D85" s="111">
        <f>SUM(F86:BB86)</f>
        <v>0</v>
      </c>
      <c r="E85" s="112">
        <f>(AVERAGE(C85,C86)-AVERAGE(D85,D86) )</f>
        <v>0.5</v>
      </c>
      <c r="F85" s="25"/>
      <c r="G85" s="58"/>
      <c r="H85" s="58"/>
      <c r="I85" s="58"/>
      <c r="J85" s="26"/>
      <c r="K85" s="25"/>
      <c r="L85" s="58"/>
      <c r="M85" s="58"/>
      <c r="N85" s="58"/>
      <c r="O85" s="26"/>
      <c r="P85" s="25"/>
      <c r="Q85" s="58"/>
      <c r="R85" s="58"/>
      <c r="S85" s="58"/>
      <c r="T85" s="26"/>
      <c r="U85" s="25"/>
      <c r="V85" s="58"/>
      <c r="W85" s="58"/>
      <c r="X85" s="58"/>
      <c r="Y85" s="26"/>
      <c r="Z85" s="25"/>
      <c r="AA85" s="58"/>
      <c r="AB85" s="58"/>
      <c r="AC85" s="58"/>
      <c r="AD85" s="26"/>
      <c r="AE85" s="25"/>
      <c r="AF85" s="58"/>
      <c r="AG85" s="58"/>
      <c r="AH85" s="58"/>
      <c r="AI85" s="26"/>
      <c r="AJ85" s="25"/>
      <c r="AK85" s="58"/>
      <c r="AL85" s="58"/>
      <c r="AM85" s="58"/>
      <c r="AN85" s="26"/>
      <c r="AO85" s="25"/>
      <c r="AP85" s="58"/>
      <c r="AQ85" s="58"/>
      <c r="AR85" s="58"/>
      <c r="AS85" s="26"/>
      <c r="AT85" s="25"/>
      <c r="AU85" s="58"/>
      <c r="AV85" s="25"/>
      <c r="AW85" s="58"/>
      <c r="AX85" s="58"/>
      <c r="AY85" s="58"/>
      <c r="AZ85" s="26"/>
      <c r="BA85" s="25"/>
      <c r="BB85" s="65">
        <v>0.5</v>
      </c>
    </row>
    <row r="86" spans="1:55" ht="15" customHeight="1" thickBot="1" x14ac:dyDescent="0.6">
      <c r="A86" s="254"/>
      <c r="B86" s="267"/>
      <c r="C86" s="102"/>
      <c r="D86" s="102"/>
      <c r="E86" s="143"/>
      <c r="F86" s="25"/>
      <c r="G86" s="58"/>
      <c r="H86" s="58"/>
      <c r="I86" s="58"/>
      <c r="J86" s="26"/>
      <c r="K86" s="25"/>
      <c r="L86" s="58"/>
      <c r="M86" s="58"/>
      <c r="N86" s="58"/>
      <c r="O86" s="26"/>
      <c r="P86" s="27"/>
      <c r="Q86" s="28"/>
      <c r="R86" s="28"/>
      <c r="S86" s="28"/>
      <c r="T86" s="29"/>
      <c r="U86" s="25"/>
      <c r="V86" s="58"/>
      <c r="W86" s="58"/>
      <c r="X86" s="58"/>
      <c r="Y86" s="26"/>
      <c r="Z86" s="25"/>
      <c r="AA86" s="58"/>
      <c r="AB86" s="58"/>
      <c r="AC86" s="58"/>
      <c r="AD86" s="26"/>
      <c r="AE86" s="25"/>
      <c r="AF86" s="58"/>
      <c r="AG86" s="58"/>
      <c r="AH86" s="58"/>
      <c r="AI86" s="26"/>
      <c r="AJ86" s="25"/>
      <c r="AK86" s="58"/>
      <c r="AL86" s="58"/>
      <c r="AM86" s="58"/>
      <c r="AN86" s="26"/>
      <c r="AO86" s="25"/>
      <c r="AP86" s="58"/>
      <c r="AQ86" s="58"/>
      <c r="AR86" s="58"/>
      <c r="AS86" s="26"/>
      <c r="AT86" s="25"/>
      <c r="AU86" s="58"/>
      <c r="AV86" s="25"/>
      <c r="AW86" s="58"/>
      <c r="AX86" s="58"/>
      <c r="AY86" s="58"/>
      <c r="AZ86" s="26"/>
      <c r="BA86" s="25"/>
      <c r="BB86" s="26"/>
    </row>
    <row r="87" spans="1:55" ht="15" customHeight="1" x14ac:dyDescent="0.55000000000000004">
      <c r="A87" s="268" t="s">
        <v>21</v>
      </c>
      <c r="B87" s="269"/>
      <c r="C87" s="272">
        <f>SUM(C89,C92)</f>
        <v>22</v>
      </c>
      <c r="D87" s="272">
        <f>SUM(D89)</f>
        <v>2.5</v>
      </c>
      <c r="E87" s="274">
        <f>(C87-D87)</f>
        <v>19.5</v>
      </c>
      <c r="F87" s="256"/>
      <c r="G87" s="257"/>
      <c r="H87" s="257"/>
      <c r="I87" s="257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  <c r="AA87" s="257"/>
      <c r="AB87" s="257"/>
      <c r="AC87" s="257"/>
      <c r="AD87" s="257"/>
      <c r="AE87" s="257"/>
      <c r="AF87" s="257"/>
      <c r="AG87" s="257"/>
      <c r="AH87" s="257"/>
      <c r="AI87" s="257"/>
      <c r="AJ87" s="257"/>
      <c r="AK87" s="257"/>
      <c r="AL87" s="257"/>
      <c r="AM87" s="257"/>
      <c r="AN87" s="257"/>
      <c r="AO87" s="257"/>
      <c r="AP87" s="257"/>
      <c r="AQ87" s="257"/>
      <c r="AR87" s="257"/>
      <c r="AS87" s="257"/>
      <c r="AT87" s="257"/>
      <c r="AU87" s="257"/>
      <c r="AV87" s="257"/>
      <c r="AW87" s="257"/>
      <c r="AX87" s="257"/>
      <c r="AY87" s="257"/>
      <c r="AZ87" s="257"/>
      <c r="BA87" s="257"/>
      <c r="BB87" s="258"/>
    </row>
    <row r="88" spans="1:55" ht="15" customHeight="1" thickBot="1" x14ac:dyDescent="0.6">
      <c r="A88" s="270"/>
      <c r="B88" s="271"/>
      <c r="C88" s="273"/>
      <c r="D88" s="273"/>
      <c r="E88" s="275"/>
      <c r="F88" s="259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  <c r="AA88" s="260"/>
      <c r="AB88" s="260"/>
      <c r="AC88" s="260"/>
      <c r="AD88" s="260"/>
      <c r="AE88" s="260"/>
      <c r="AF88" s="260"/>
      <c r="AG88" s="260"/>
      <c r="AH88" s="260"/>
      <c r="AI88" s="260"/>
      <c r="AJ88" s="260"/>
      <c r="AK88" s="260"/>
      <c r="AL88" s="260"/>
      <c r="AM88" s="260"/>
      <c r="AN88" s="260"/>
      <c r="AO88" s="260"/>
      <c r="AP88" s="260"/>
      <c r="AQ88" s="260"/>
      <c r="AR88" s="260"/>
      <c r="AS88" s="260"/>
      <c r="AT88" s="260"/>
      <c r="AU88" s="260"/>
      <c r="AV88" s="260"/>
      <c r="AW88" s="260"/>
      <c r="AX88" s="260"/>
      <c r="AY88" s="260"/>
      <c r="AZ88" s="260"/>
      <c r="BA88" s="260"/>
      <c r="BB88" s="261"/>
    </row>
    <row r="89" spans="1:55" x14ac:dyDescent="0.55000000000000004">
      <c r="A89" s="41"/>
      <c r="B89" s="262" t="s">
        <v>64</v>
      </c>
      <c r="C89" s="111">
        <f>SUM(F89:BB89)</f>
        <v>22</v>
      </c>
      <c r="D89" s="111">
        <f>SUM(F90:BB90)</f>
        <v>2.5</v>
      </c>
      <c r="E89" s="112">
        <f>(AVERAGE(C89,C90)-AVERAGE(D89,D90) )</f>
        <v>19.5</v>
      </c>
      <c r="F89" s="64">
        <v>1</v>
      </c>
      <c r="G89" s="66">
        <v>0.5</v>
      </c>
      <c r="H89" s="66">
        <v>0.5</v>
      </c>
      <c r="I89" s="66">
        <v>0.5</v>
      </c>
      <c r="J89" s="67"/>
      <c r="K89" s="68"/>
      <c r="L89" s="66">
        <v>0.5</v>
      </c>
      <c r="M89" s="66">
        <v>0.5</v>
      </c>
      <c r="N89" s="66">
        <v>0.5</v>
      </c>
      <c r="O89" s="67"/>
      <c r="P89" s="68"/>
      <c r="Q89" s="66">
        <v>0.5</v>
      </c>
      <c r="R89" s="66">
        <v>0.5</v>
      </c>
      <c r="S89" s="66">
        <v>1</v>
      </c>
      <c r="T89" s="67"/>
      <c r="U89" s="68"/>
      <c r="V89" s="66">
        <v>0.5</v>
      </c>
      <c r="W89" s="66">
        <v>0.5</v>
      </c>
      <c r="X89" s="66">
        <v>1</v>
      </c>
      <c r="Y89" s="67"/>
      <c r="Z89" s="68"/>
      <c r="AA89" s="66">
        <v>0.5</v>
      </c>
      <c r="AB89" s="66">
        <v>0.5</v>
      </c>
      <c r="AC89" s="66">
        <v>1</v>
      </c>
      <c r="AD89" s="67"/>
      <c r="AE89" s="64">
        <v>1</v>
      </c>
      <c r="AF89" s="66">
        <v>0.5</v>
      </c>
      <c r="AG89" s="66">
        <v>0.5</v>
      </c>
      <c r="AH89" s="66">
        <v>0.5</v>
      </c>
      <c r="AI89" s="67"/>
      <c r="AJ89" s="64">
        <v>0.5</v>
      </c>
      <c r="AK89" s="66">
        <v>0.5</v>
      </c>
      <c r="AL89" s="66">
        <v>0.5</v>
      </c>
      <c r="AM89" s="66">
        <v>0.5</v>
      </c>
      <c r="AN89" s="67"/>
      <c r="AO89" s="64">
        <v>0.5</v>
      </c>
      <c r="AP89" s="66">
        <v>0.5</v>
      </c>
      <c r="AQ89" s="31"/>
      <c r="AR89" s="66">
        <v>0.5</v>
      </c>
      <c r="AS89" s="67"/>
      <c r="AT89" s="64">
        <v>1</v>
      </c>
      <c r="AU89" s="65">
        <v>0.5</v>
      </c>
      <c r="AV89" s="64">
        <v>1</v>
      </c>
      <c r="AW89" s="66">
        <v>0.5</v>
      </c>
      <c r="AX89" s="66">
        <v>0.5</v>
      </c>
      <c r="AY89" s="66">
        <v>0.5</v>
      </c>
      <c r="AZ89" s="67"/>
      <c r="BA89" s="64">
        <v>1</v>
      </c>
      <c r="BB89" s="65">
        <v>1</v>
      </c>
    </row>
    <row r="90" spans="1:55" ht="14.7" thickBot="1" x14ac:dyDescent="0.6">
      <c r="A90" s="42"/>
      <c r="B90" s="263"/>
      <c r="C90" s="102"/>
      <c r="D90" s="102"/>
      <c r="E90" s="143"/>
      <c r="F90" s="77">
        <v>1</v>
      </c>
      <c r="G90" s="78">
        <v>0.5</v>
      </c>
      <c r="H90" s="78">
        <v>0.5</v>
      </c>
      <c r="I90" s="78">
        <v>0.5</v>
      </c>
      <c r="J90" s="45"/>
      <c r="K90" s="25"/>
      <c r="L90" s="58"/>
      <c r="N90" s="58"/>
      <c r="O90" s="26"/>
      <c r="P90" s="43"/>
      <c r="Q90" s="44"/>
      <c r="R90" s="44"/>
      <c r="S90" s="44"/>
      <c r="T90" s="45"/>
      <c r="U90" s="43"/>
      <c r="V90" s="44"/>
      <c r="W90" s="44"/>
      <c r="X90" s="44"/>
      <c r="Y90" s="45"/>
      <c r="Z90" s="43"/>
      <c r="AA90" s="44"/>
      <c r="AB90" s="44"/>
      <c r="AC90" s="44"/>
      <c r="AD90" s="45"/>
      <c r="AE90" s="43"/>
      <c r="AF90" s="44"/>
      <c r="AG90" s="44"/>
      <c r="AH90" s="44"/>
      <c r="AI90" s="45"/>
      <c r="AJ90" s="43"/>
      <c r="AK90" s="44"/>
      <c r="AL90" s="44"/>
      <c r="AM90" s="44"/>
      <c r="AN90" s="45"/>
      <c r="AO90" s="43"/>
      <c r="AP90" s="44"/>
      <c r="AQ90" s="44"/>
      <c r="AR90" s="44"/>
      <c r="AS90" s="45"/>
      <c r="AT90" s="43"/>
      <c r="AU90" s="44"/>
      <c r="AV90" s="43"/>
      <c r="AW90" s="44"/>
      <c r="AX90" s="44"/>
      <c r="AY90" s="44"/>
      <c r="AZ90" s="45"/>
      <c r="BA90" s="43"/>
      <c r="BB90" s="45"/>
      <c r="BC90" s="76"/>
    </row>
    <row r="91" spans="1:55" ht="15.6" customHeight="1" x14ac:dyDescent="0.55000000000000004">
      <c r="A91" s="278"/>
      <c r="B91" s="279" t="s">
        <v>22</v>
      </c>
      <c r="C91" s="281">
        <f>SUM((F91:BB91))</f>
        <v>1</v>
      </c>
      <c r="D91" s="111"/>
      <c r="E91" s="101"/>
      <c r="F91" s="30"/>
      <c r="G91" s="31"/>
      <c r="H91" s="31"/>
      <c r="I91" s="31"/>
      <c r="J91" s="32"/>
      <c r="K91" s="30"/>
      <c r="L91" s="31"/>
      <c r="M91" s="56">
        <v>1</v>
      </c>
      <c r="N91" s="31"/>
      <c r="O91" s="32"/>
      <c r="P91" s="25"/>
      <c r="Q91" s="58"/>
      <c r="R91" s="58"/>
      <c r="S91" s="58"/>
      <c r="T91" s="26"/>
      <c r="U91" s="30"/>
      <c r="V91" s="31"/>
      <c r="W91" s="31"/>
      <c r="X91" s="31"/>
      <c r="Y91" s="32"/>
      <c r="Z91" s="30"/>
      <c r="AA91" s="31"/>
      <c r="AB91" s="31"/>
      <c r="AC91" s="31"/>
      <c r="AD91" s="32"/>
      <c r="AE91" s="30"/>
      <c r="AF91" s="31"/>
      <c r="AG91" s="31"/>
      <c r="AH91" s="31"/>
      <c r="AI91" s="32"/>
      <c r="AJ91" s="30"/>
      <c r="AK91" s="31"/>
      <c r="AL91" s="31"/>
      <c r="AM91" s="31"/>
      <c r="AN91" s="32"/>
      <c r="AO91" s="30"/>
      <c r="AP91" s="31"/>
      <c r="AQ91" s="31"/>
      <c r="AR91" s="31"/>
      <c r="AS91" s="32"/>
      <c r="AT91" s="30"/>
      <c r="AU91" s="31"/>
      <c r="AV91" s="30"/>
      <c r="AW91" s="31"/>
      <c r="AX91" s="31"/>
      <c r="AY91" s="31"/>
      <c r="AZ91" s="32"/>
      <c r="BA91" s="30"/>
      <c r="BB91" s="32"/>
      <c r="BC91" s="76"/>
    </row>
    <row r="92" spans="1:55" ht="15.9" customHeight="1" thickBot="1" x14ac:dyDescent="0.6">
      <c r="A92" s="277"/>
      <c r="B92" s="280"/>
      <c r="C92" s="282"/>
      <c r="D92" s="283"/>
      <c r="E92" s="283"/>
      <c r="F92" s="27"/>
      <c r="G92" s="28"/>
      <c r="H92" s="28"/>
      <c r="I92" s="28"/>
      <c r="J92" s="29"/>
      <c r="K92" s="27"/>
      <c r="L92" s="28"/>
      <c r="M92" s="28"/>
      <c r="N92" s="28"/>
      <c r="O92" s="29"/>
      <c r="P92" s="27"/>
      <c r="Q92" s="28"/>
      <c r="R92" s="28"/>
      <c r="S92" s="28"/>
      <c r="T92" s="29"/>
      <c r="U92" s="27"/>
      <c r="V92" s="28"/>
      <c r="W92" s="28"/>
      <c r="X92" s="28"/>
      <c r="Y92" s="29"/>
      <c r="Z92" s="27"/>
      <c r="AA92" s="28"/>
      <c r="AB92" s="28"/>
      <c r="AC92" s="28"/>
      <c r="AD92" s="29"/>
      <c r="AE92" s="27"/>
      <c r="AF92" s="28"/>
      <c r="AG92" s="28"/>
      <c r="AH92" s="28"/>
      <c r="AI92" s="29"/>
      <c r="AJ92" s="27"/>
      <c r="AK92" s="28"/>
      <c r="AL92" s="28"/>
      <c r="AM92" s="28"/>
      <c r="AN92" s="29"/>
      <c r="AO92" s="27"/>
      <c r="AP92" s="28"/>
      <c r="AQ92" s="28"/>
      <c r="AR92" s="28"/>
      <c r="AS92" s="29"/>
      <c r="AT92" s="27"/>
      <c r="AU92" s="28"/>
      <c r="AV92" s="27"/>
      <c r="AW92" s="28"/>
      <c r="AX92" s="28"/>
      <c r="AY92" s="28"/>
      <c r="AZ92" s="29"/>
      <c r="BA92" s="27"/>
      <c r="BB92" s="29"/>
    </row>
    <row r="93" spans="1:55" ht="14.7" thickBot="1" x14ac:dyDescent="0.6">
      <c r="B93" s="46" t="s">
        <v>23</v>
      </c>
      <c r="C93" s="47">
        <f>SUM(C21,C29,C41,C49,C67,C75,C87,C15,C6,)</f>
        <v>80</v>
      </c>
      <c r="D93" s="47">
        <f>SUM(D21,D29,D41,D49,D67,D75,D87, D15,D6)</f>
        <v>10.5</v>
      </c>
      <c r="E93" s="48">
        <f>SUM(E21,E29,E41,E49,E67,E75,E87,E6,E15)</f>
        <v>69.5</v>
      </c>
      <c r="F93" s="264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F93" s="265"/>
      <c r="AG93" s="265"/>
      <c r="AH93" s="265"/>
      <c r="AI93" s="265"/>
      <c r="AJ93" s="265"/>
      <c r="AK93" s="265"/>
      <c r="AL93" s="265"/>
      <c r="AM93" s="265"/>
      <c r="AN93" s="265"/>
      <c r="AO93" s="265"/>
      <c r="AP93" s="265"/>
      <c r="AQ93" s="265"/>
      <c r="AR93" s="265"/>
      <c r="AS93" s="265"/>
      <c r="AT93" s="265"/>
      <c r="AU93" s="265"/>
      <c r="AV93" s="265"/>
      <c r="AW93" s="265"/>
      <c r="AX93" s="265"/>
      <c r="AY93" s="265"/>
      <c r="AZ93" s="265"/>
      <c r="BA93" s="265"/>
      <c r="BB93" s="265"/>
    </row>
    <row r="94" spans="1:55" ht="75.599999999999994" customHeight="1" x14ac:dyDescent="0.55000000000000004">
      <c r="C94" s="49" t="s">
        <v>4</v>
      </c>
      <c r="D94" s="49" t="s">
        <v>5</v>
      </c>
      <c r="E94" s="50" t="s">
        <v>6</v>
      </c>
    </row>
    <row r="96" spans="1:55" x14ac:dyDescent="0.55000000000000004">
      <c r="E96" s="52"/>
      <c r="F96" s="52"/>
      <c r="G96" s="52"/>
      <c r="H96" s="52"/>
      <c r="I96" s="52"/>
      <c r="J96" s="52"/>
      <c r="K96" s="53"/>
      <c r="O96" s="54"/>
      <c r="P96" s="54"/>
      <c r="Q96" s="54"/>
      <c r="R96" s="54"/>
      <c r="X96" s="55"/>
      <c r="AD96" s="56"/>
    </row>
    <row r="97" spans="5:30" x14ac:dyDescent="0.55000000000000004">
      <c r="E97" s="52"/>
      <c r="F97" s="52"/>
      <c r="G97" s="52"/>
      <c r="H97" s="52"/>
      <c r="I97" s="52"/>
      <c r="J97" s="52"/>
      <c r="K97" s="2" t="s">
        <v>24</v>
      </c>
      <c r="O97" s="2" t="s">
        <v>25</v>
      </c>
      <c r="X97" s="2" t="s">
        <v>26</v>
      </c>
      <c r="AD97" s="2" t="s">
        <v>22</v>
      </c>
    </row>
  </sheetData>
  <mergeCells count="247">
    <mergeCell ref="F87:BB88"/>
    <mergeCell ref="B89:B90"/>
    <mergeCell ref="C89:C90"/>
    <mergeCell ref="D89:D90"/>
    <mergeCell ref="E89:E90"/>
    <mergeCell ref="F93:BB93"/>
    <mergeCell ref="A85:A86"/>
    <mergeCell ref="B85:B86"/>
    <mergeCell ref="C85:C86"/>
    <mergeCell ref="D85:D86"/>
    <mergeCell ref="E85:E86"/>
    <mergeCell ref="A87:B88"/>
    <mergeCell ref="C87:C88"/>
    <mergeCell ref="D87:D88"/>
    <mergeCell ref="E87:E88"/>
    <mergeCell ref="A91:A92"/>
    <mergeCell ref="B91:B92"/>
    <mergeCell ref="C91:C92"/>
    <mergeCell ref="D91:D92"/>
    <mergeCell ref="E91:E92"/>
    <mergeCell ref="A81:A82"/>
    <mergeCell ref="B81:B82"/>
    <mergeCell ref="C81:C82"/>
    <mergeCell ref="D81:D82"/>
    <mergeCell ref="E81:E82"/>
    <mergeCell ref="A83:A84"/>
    <mergeCell ref="B83:B84"/>
    <mergeCell ref="C83:C84"/>
    <mergeCell ref="D83:D84"/>
    <mergeCell ref="E83:E84"/>
    <mergeCell ref="A77:A78"/>
    <mergeCell ref="B77:B78"/>
    <mergeCell ref="C77:C78"/>
    <mergeCell ref="D77:D78"/>
    <mergeCell ref="E77:E78"/>
    <mergeCell ref="A79:A80"/>
    <mergeCell ref="B79:B80"/>
    <mergeCell ref="C79:C80"/>
    <mergeCell ref="D79:D80"/>
    <mergeCell ref="E79:E80"/>
    <mergeCell ref="A75:A76"/>
    <mergeCell ref="B75:B76"/>
    <mergeCell ref="C75:C76"/>
    <mergeCell ref="D75:D76"/>
    <mergeCell ref="E75:E76"/>
    <mergeCell ref="F75:BB76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F67:BB68"/>
    <mergeCell ref="A69:A70"/>
    <mergeCell ref="B69:B70"/>
    <mergeCell ref="C69:C70"/>
    <mergeCell ref="D69:D70"/>
    <mergeCell ref="E69:E70"/>
    <mergeCell ref="A67:A68"/>
    <mergeCell ref="B67:B68"/>
    <mergeCell ref="C67:C68"/>
    <mergeCell ref="D67:D68"/>
    <mergeCell ref="E67:E68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55:A56"/>
    <mergeCell ref="B55:B56"/>
    <mergeCell ref="C55:C56"/>
    <mergeCell ref="D55:D56"/>
    <mergeCell ref="E55:E56"/>
    <mergeCell ref="A57:A58"/>
    <mergeCell ref="B57:B58"/>
    <mergeCell ref="C57:C58"/>
    <mergeCell ref="D57:D58"/>
    <mergeCell ref="E57:E58"/>
    <mergeCell ref="A51:A52"/>
    <mergeCell ref="B51:B52"/>
    <mergeCell ref="C51:C52"/>
    <mergeCell ref="D51:D52"/>
    <mergeCell ref="E51:E52"/>
    <mergeCell ref="A53:A54"/>
    <mergeCell ref="B53:B54"/>
    <mergeCell ref="C53:C54"/>
    <mergeCell ref="D53:D54"/>
    <mergeCell ref="E53:E54"/>
    <mergeCell ref="A49:A50"/>
    <mergeCell ref="B49:B50"/>
    <mergeCell ref="C49:C50"/>
    <mergeCell ref="D49:D50"/>
    <mergeCell ref="E49:E50"/>
    <mergeCell ref="F49:BB50"/>
    <mergeCell ref="A43:A44"/>
    <mergeCell ref="B43:B44"/>
    <mergeCell ref="C43:C44"/>
    <mergeCell ref="D43:D44"/>
    <mergeCell ref="E43:E44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A41:A42"/>
    <mergeCell ref="B41:B42"/>
    <mergeCell ref="C41:C42"/>
    <mergeCell ref="D41:D42"/>
    <mergeCell ref="E41:E42"/>
    <mergeCell ref="F41:BB42"/>
    <mergeCell ref="A39:A40"/>
    <mergeCell ref="B39:B40"/>
    <mergeCell ref="C39:C40"/>
    <mergeCell ref="D39:D40"/>
    <mergeCell ref="E39:E40"/>
    <mergeCell ref="A35:A36"/>
    <mergeCell ref="B35:B36"/>
    <mergeCell ref="C35:C36"/>
    <mergeCell ref="D35:D36"/>
    <mergeCell ref="E35:E36"/>
    <mergeCell ref="A37:A38"/>
    <mergeCell ref="B37:B38"/>
    <mergeCell ref="C37:C38"/>
    <mergeCell ref="D37:D38"/>
    <mergeCell ref="E37:E38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E33:E34"/>
    <mergeCell ref="A29:A30"/>
    <mergeCell ref="B29:B30"/>
    <mergeCell ref="C29:C30"/>
    <mergeCell ref="D29:D30"/>
    <mergeCell ref="E29:E30"/>
    <mergeCell ref="F29:BB30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F21:BB22"/>
    <mergeCell ref="A23:A24"/>
    <mergeCell ref="B23:B24"/>
    <mergeCell ref="C23:C24"/>
    <mergeCell ref="D23:D24"/>
    <mergeCell ref="E23:E24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13:A14"/>
    <mergeCell ref="B13:B14"/>
    <mergeCell ref="C13:C14"/>
    <mergeCell ref="D13:D14"/>
    <mergeCell ref="E13:E14"/>
    <mergeCell ref="F15:BB16"/>
    <mergeCell ref="A17:A18"/>
    <mergeCell ref="B17:B18"/>
    <mergeCell ref="C17:C18"/>
    <mergeCell ref="D17:D18"/>
    <mergeCell ref="E17:E18"/>
    <mergeCell ref="A15:A16"/>
    <mergeCell ref="B15:B16"/>
    <mergeCell ref="C15:C16"/>
    <mergeCell ref="D15:D16"/>
    <mergeCell ref="E15:E16"/>
    <mergeCell ref="A9:A10"/>
    <mergeCell ref="B9:B10"/>
    <mergeCell ref="C9:C10"/>
    <mergeCell ref="D9:D10"/>
    <mergeCell ref="E9:E10"/>
    <mergeCell ref="A11:A12"/>
    <mergeCell ref="B11:B12"/>
    <mergeCell ref="C11:C12"/>
    <mergeCell ref="D11:D12"/>
    <mergeCell ref="E11:E12"/>
    <mergeCell ref="A7:A8"/>
    <mergeCell ref="B7:B8"/>
    <mergeCell ref="C7:C8"/>
    <mergeCell ref="D7:D8"/>
    <mergeCell ref="E7:E8"/>
    <mergeCell ref="BA1:BB1"/>
    <mergeCell ref="F2:J2"/>
    <mergeCell ref="K2:O2"/>
    <mergeCell ref="U2:Y2"/>
    <mergeCell ref="Z2:AD2"/>
    <mergeCell ref="AE2:AI2"/>
    <mergeCell ref="AJ2:AN2"/>
    <mergeCell ref="AT2:AU2"/>
    <mergeCell ref="Z1:AD1"/>
    <mergeCell ref="AE1:AI1"/>
    <mergeCell ref="AJ1:AN1"/>
    <mergeCell ref="AT1:AU1"/>
    <mergeCell ref="AV1:AZ1"/>
    <mergeCell ref="AO1:AS1"/>
    <mergeCell ref="AO2:AS2"/>
    <mergeCell ref="A1:A4"/>
    <mergeCell ref="C1:E2"/>
    <mergeCell ref="F1:J1"/>
    <mergeCell ref="K1:O1"/>
    <mergeCell ref="U1:Y1"/>
    <mergeCell ref="P1:T1"/>
    <mergeCell ref="P2:T2"/>
    <mergeCell ref="AV2:AZ2"/>
    <mergeCell ref="BA2:BB2"/>
    <mergeCell ref="F6:BB6"/>
  </mergeCells>
  <pageMargins left="0.25" right="0.25" top="0.75" bottom="0.75" header="0.3" footer="0.3"/>
  <pageSetup paperSize="9" scale="3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2D96D6CA-ED1B-0044-B85F-0457C2379A8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E7:E14</xm:sqref>
        </x14:conditionalFormatting>
        <x14:conditionalFormatting xmlns:xm="http://schemas.microsoft.com/office/excel/2006/main">
          <x14:cfRule type="iconSet" priority="19" id="{69BCBE87-4B91-D74B-9A07-F64D04BEA89F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E17:E18</xm:sqref>
        </x14:conditionalFormatting>
        <x14:conditionalFormatting xmlns:xm="http://schemas.microsoft.com/office/excel/2006/main">
          <x14:cfRule type="iconSet" priority="18" id="{7941BDC9-DFC7-3443-865A-F4ED386CD82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E19:E20</xm:sqref>
        </x14:conditionalFormatting>
        <x14:conditionalFormatting xmlns:xm="http://schemas.microsoft.com/office/excel/2006/main">
          <x14:cfRule type="iconSet" priority="11" id="{DA412E3C-2844-6B48-B1E1-A5D4CDC1592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E23:E24</xm:sqref>
        </x14:conditionalFormatting>
        <x14:conditionalFormatting xmlns:xm="http://schemas.microsoft.com/office/excel/2006/main">
          <x14:cfRule type="iconSet" priority="5" id="{D5B91954-8AD5-534E-8897-7F668F37474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E25:E26</xm:sqref>
        </x14:conditionalFormatting>
        <x14:conditionalFormatting xmlns:xm="http://schemas.microsoft.com/office/excel/2006/main">
          <x14:cfRule type="iconSet" priority="17" id="{75A44AC4-7E87-A74A-A482-F2554C9A366F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E27:E28</xm:sqref>
        </x14:conditionalFormatting>
        <x14:conditionalFormatting xmlns:xm="http://schemas.microsoft.com/office/excel/2006/main">
          <x14:cfRule type="iconSet" priority="10" id="{4E813451-3022-1041-A31B-1426318B07B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E31:E32</xm:sqref>
        </x14:conditionalFormatting>
        <x14:conditionalFormatting xmlns:xm="http://schemas.microsoft.com/office/excel/2006/main">
          <x14:cfRule type="iconSet" priority="21" id="{061BFE4D-E788-014F-9A59-79005A11305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E33:E40</xm:sqref>
        </x14:conditionalFormatting>
        <x14:conditionalFormatting xmlns:xm="http://schemas.microsoft.com/office/excel/2006/main">
          <x14:cfRule type="iconSet" priority="9" id="{E2D8F92A-8C7F-5F45-8811-5932ACAE6FE2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E43:E44</xm:sqref>
        </x14:conditionalFormatting>
        <x14:conditionalFormatting xmlns:xm="http://schemas.microsoft.com/office/excel/2006/main">
          <x14:cfRule type="iconSet" priority="15" id="{C2DE43FF-9B48-0A43-AA1C-4788BF7C23B7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E45:E48</xm:sqref>
        </x14:conditionalFormatting>
        <x14:conditionalFormatting xmlns:xm="http://schemas.microsoft.com/office/excel/2006/main">
          <x14:cfRule type="iconSet" priority="8" id="{BD59D571-5D70-FE4D-9A68-50FD39272467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E51:E52</xm:sqref>
        </x14:conditionalFormatting>
        <x14:conditionalFormatting xmlns:xm="http://schemas.microsoft.com/office/excel/2006/main">
          <x14:cfRule type="iconSet" priority="4" id="{691C2A0E-0E47-414F-8BFD-E7C4F132B015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E53:E66</xm:sqref>
        </x14:conditionalFormatting>
        <x14:conditionalFormatting xmlns:xm="http://schemas.microsoft.com/office/excel/2006/main">
          <x14:cfRule type="iconSet" priority="7" id="{2628D257-0EE0-8844-B589-A43EF9BEBAC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E69:E70</xm:sqref>
        </x14:conditionalFormatting>
        <x14:conditionalFormatting xmlns:xm="http://schemas.microsoft.com/office/excel/2006/main">
          <x14:cfRule type="iconSet" priority="3" id="{B9B9040D-9D71-9C44-B55D-9ABFE3C4CA1E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E71:E72</xm:sqref>
        </x14:conditionalFormatting>
        <x14:conditionalFormatting xmlns:xm="http://schemas.microsoft.com/office/excel/2006/main">
          <x14:cfRule type="iconSet" priority="13" id="{27CA080D-6895-0947-BA9D-038D1C740841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E73:E74</xm:sqref>
        </x14:conditionalFormatting>
        <x14:conditionalFormatting xmlns:xm="http://schemas.microsoft.com/office/excel/2006/main">
          <x14:cfRule type="iconSet" priority="6" id="{BAAD0154-C686-7C4A-8901-1866270D16C1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E77:E78</xm:sqref>
        </x14:conditionalFormatting>
        <x14:conditionalFormatting xmlns:xm="http://schemas.microsoft.com/office/excel/2006/main">
          <x14:cfRule type="iconSet" priority="2" id="{C126C85E-3898-3C41-AF0F-6E9C5B8C5DFD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E79:E84</xm:sqref>
        </x14:conditionalFormatting>
        <x14:conditionalFormatting xmlns:xm="http://schemas.microsoft.com/office/excel/2006/main">
          <x14:cfRule type="iconSet" priority="12" id="{FCE4FB17-9304-4A45-9DA3-AFB12F7FD0C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E85:E86</xm:sqref>
        </x14:conditionalFormatting>
        <x14:conditionalFormatting xmlns:xm="http://schemas.microsoft.com/office/excel/2006/main">
          <x14:cfRule type="iconSet" priority="1" id="{9CA648AF-6D97-1248-A5D1-D2A4C8147F19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E89:E90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2e1fccfb-80ca-4fe1-a574-1516544edb53}" enabled="1" method="Standard" siteId="{364e5b87-c1c7-420d-9bee-c35d19b557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Zeitplan_Nicola_Mäder</vt:lpstr>
      <vt:lpstr>Zeitplan_Nicola_Mäder!Druckbereich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Lins Isaac, GHR-SCS-NEX-INP-10</dc:creator>
  <cp:lastModifiedBy>Mäder Nicola, GHR-SCS-NEX-PER-22</cp:lastModifiedBy>
  <dcterms:created xsi:type="dcterms:W3CDTF">2026-03-07T17:16:29Z</dcterms:created>
  <dcterms:modified xsi:type="dcterms:W3CDTF">2026-04-23T09:29:00Z</dcterms:modified>
</cp:coreProperties>
</file>